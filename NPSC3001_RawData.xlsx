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gabepereyra/Desktop/"/>
    </mc:Choice>
  </mc:AlternateContent>
  <xr:revisionPtr revIDLastSave="0" documentId="13_ncr:1_{FE583EC8-4164-5E47-8423-C7C77039B2BC}" xr6:coauthVersionLast="47" xr6:coauthVersionMax="47" xr10:uidLastSave="{00000000-0000-0000-0000-000000000000}"/>
  <bookViews>
    <workbookView xWindow="1500" yWindow="660" windowWidth="27900" windowHeight="18460" tabRatio="500" activeTab="8" xr2:uid="{00000000-000D-0000-FFFF-FFFF00000000}"/>
  </bookViews>
  <sheets>
    <sheet name="Asset overview" sheetId="1" r:id="rId1"/>
    <sheet name="Assumptions" sheetId="3" r:id="rId2"/>
    <sheet name="Seaborne Supply" sheetId="2" r:id="rId3"/>
    <sheet name="Benchmark-equivalent supply" sheetId="4" r:id="rId4"/>
    <sheet name="FOB Cost" sheetId="5" r:id="rId5"/>
    <sheet name="Freight to Qingdao" sheetId="6" r:id="rId6"/>
    <sheet name="Final CFR cost" sheetId="7" r:id="rId7"/>
    <sheet name="Demand build" sheetId="8" r:id="rId8"/>
    <sheet name="Macro Data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6" i="8" l="1"/>
  <c r="T16" i="8"/>
  <c r="U16" i="8"/>
  <c r="V16" i="8"/>
  <c r="W16" i="8"/>
  <c r="X16" i="8"/>
  <c r="Y16" i="8"/>
  <c r="Z16" i="8"/>
  <c r="AA16" i="8"/>
  <c r="AB16" i="8"/>
  <c r="C14" i="8" l="1"/>
  <c r="W14" i="8"/>
  <c r="V14" i="8"/>
  <c r="U14" i="8"/>
  <c r="L14" i="8"/>
  <c r="L16" i="8" s="1"/>
  <c r="M14" i="8"/>
  <c r="M16" i="8" s="1"/>
  <c r="K14" i="8"/>
  <c r="AB9" i="8"/>
  <c r="AB14" i="8" s="1"/>
  <c r="AA9" i="8"/>
  <c r="AA14" i="8" s="1"/>
  <c r="Z9" i="8"/>
  <c r="Z14" i="8" s="1"/>
  <c r="Y9" i="8"/>
  <c r="Y14" i="8" s="1"/>
  <c r="X9" i="8"/>
  <c r="X14" i="8" s="1"/>
  <c r="W9" i="8"/>
  <c r="V9" i="8"/>
  <c r="U9" i="8"/>
  <c r="T9" i="8"/>
  <c r="T14" i="8" s="1"/>
  <c r="S9" i="8"/>
  <c r="S14" i="8" s="1"/>
  <c r="R9" i="8"/>
  <c r="R14" i="8" s="1"/>
  <c r="Q9" i="8"/>
  <c r="P9" i="8"/>
  <c r="O9" i="8"/>
  <c r="N9" i="8"/>
  <c r="M9" i="8"/>
  <c r="L9" i="8"/>
  <c r="K9" i="8"/>
  <c r="J9" i="8"/>
  <c r="J14" i="8" s="1"/>
  <c r="I9" i="8"/>
  <c r="I14" i="8" s="1"/>
  <c r="H9" i="8"/>
  <c r="G9" i="8"/>
  <c r="F9" i="8"/>
  <c r="E9" i="8"/>
  <c r="D9" i="8"/>
  <c r="D14" i="8" s="1"/>
  <c r="C9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H30" i="5"/>
  <c r="G23" i="6"/>
  <c r="K23" i="6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D74" i="7"/>
  <c r="E74" i="7"/>
  <c r="F74" i="7"/>
  <c r="H74" i="7"/>
  <c r="J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4" i="7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D23" i="6"/>
  <c r="E23" i="6"/>
  <c r="F23" i="6"/>
  <c r="H23" i="6"/>
  <c r="I23" i="6"/>
  <c r="J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H14" i="8" l="1"/>
  <c r="U17" i="8"/>
  <c r="AB17" i="8"/>
  <c r="S17" i="8"/>
  <c r="Y17" i="8"/>
  <c r="Z17" i="8"/>
  <c r="AA17" i="8"/>
  <c r="I16" i="8"/>
  <c r="I17" i="8" s="1"/>
  <c r="R16" i="8"/>
  <c r="R17" i="8" s="1"/>
  <c r="J16" i="8"/>
  <c r="J17" i="8" s="1"/>
  <c r="H16" i="8"/>
  <c r="H17" i="8" s="1"/>
  <c r="K16" i="8"/>
  <c r="K17" i="8" s="1"/>
  <c r="T17" i="8"/>
  <c r="X17" i="8"/>
  <c r="E14" i="8"/>
  <c r="F14" i="8"/>
  <c r="P14" i="8"/>
  <c r="G14" i="8"/>
  <c r="Q14" i="8"/>
  <c r="N14" i="8"/>
  <c r="L17" i="8"/>
  <c r="V17" i="8"/>
  <c r="W17" i="8"/>
  <c r="M17" i="8"/>
  <c r="O14" i="8"/>
  <c r="C16" i="8"/>
  <c r="C17" i="8" s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3" i="3"/>
  <c r="O16" i="8" l="1"/>
  <c r="O17" i="8" s="1"/>
  <c r="Q16" i="8"/>
  <c r="Q17" i="8" s="1"/>
  <c r="F16" i="8"/>
  <c r="F17" i="8" s="1"/>
  <c r="N16" i="8"/>
  <c r="N17" i="8" s="1"/>
  <c r="D16" i="8"/>
  <c r="D17" i="8" s="1"/>
  <c r="G16" i="8"/>
  <c r="G17" i="8" s="1"/>
  <c r="E16" i="8"/>
  <c r="E17" i="8" s="1"/>
  <c r="P16" i="8"/>
  <c r="P17" i="8" s="1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L75" i="4"/>
  <c r="N75" i="4"/>
  <c r="O7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D5" i="4"/>
  <c r="E5" i="4"/>
  <c r="F5" i="4"/>
  <c r="G5" i="4"/>
  <c r="H5" i="4"/>
  <c r="I5" i="4"/>
  <c r="J5" i="4"/>
  <c r="K5" i="4"/>
  <c r="C5" i="4"/>
  <c r="AB73" i="2"/>
  <c r="AB75" i="4" s="1"/>
  <c r="D73" i="2"/>
  <c r="D75" i="4" s="1"/>
  <c r="E73" i="2"/>
  <c r="E75" i="4" s="1"/>
  <c r="F73" i="2"/>
  <c r="F75" i="4" s="1"/>
  <c r="G73" i="2"/>
  <c r="H73" i="2"/>
  <c r="H75" i="4" s="1"/>
  <c r="I73" i="2"/>
  <c r="J73" i="2"/>
  <c r="J75" i="4" s="1"/>
  <c r="K73" i="2"/>
  <c r="L73" i="2"/>
  <c r="M73" i="2"/>
  <c r="M75" i="4" s="1"/>
  <c r="N73" i="2"/>
  <c r="O73" i="2"/>
  <c r="P73" i="2"/>
  <c r="P75" i="4" s="1"/>
  <c r="Q73" i="2"/>
  <c r="Q75" i="4" s="1"/>
  <c r="R73" i="2"/>
  <c r="R75" i="4" s="1"/>
  <c r="S73" i="2"/>
  <c r="S75" i="4" s="1"/>
  <c r="T73" i="2"/>
  <c r="T75" i="4" s="1"/>
  <c r="U73" i="2"/>
  <c r="U75" i="4" s="1"/>
  <c r="V73" i="2"/>
  <c r="V75" i="4" s="1"/>
  <c r="W73" i="2"/>
  <c r="W75" i="4" s="1"/>
  <c r="X73" i="2"/>
  <c r="X75" i="4" s="1"/>
  <c r="Y73" i="2"/>
  <c r="Y75" i="4" s="1"/>
  <c r="Z73" i="2"/>
  <c r="Z75" i="4" s="1"/>
  <c r="AA73" i="2"/>
  <c r="AA75" i="4" s="1"/>
  <c r="C26" i="2"/>
  <c r="K75" i="4" l="1"/>
  <c r="K74" i="7"/>
  <c r="G75" i="4"/>
  <c r="G74" i="7"/>
  <c r="I75" i="4"/>
  <c r="I74" i="7"/>
  <c r="C73" i="2"/>
  <c r="C7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7" authorId="0" shapeId="0" xr:uid="{00000000-0006-0000-0000-000005000000}">
      <text>
        <r>
          <rPr>
            <sz val="10"/>
            <color rgb="FF000000"/>
            <rFont val="Arial"/>
            <family val="2"/>
          </rPr>
          <t>Link goes to: Vale 20-F for 2021 (SEC filing folder)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S6" authorId="0" shapeId="0" xr:uid="{E32BF5D4-4F9E-794E-8951-D17969E5915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https://www.afr.com/companies/mining/fortescue-s-flagship-iron-bridge-takes-1b-hit-as-china-talks-stumble-20260731-p60k8t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Plan is 22 </t>
        </r>
      </text>
    </comment>
    <comment ref="T13" authorId="0" shapeId="0" xr:uid="{DEA51C98-68E7-E248-B651-3D1B5236512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https://www.abc.net.au/news/2026-06-17/gina-rinehart-hancock-iron-ore-flags-job-losses/106806682
depleting resources</t>
        </r>
      </text>
    </comment>
    <comment ref="S14" authorId="0" shapeId="0" xr:uid="{5CAD9FC0-641A-B24D-9913-C7C83286D84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https://citicpacificmining.com/news/76-2023-mine-continuation-proposals-approved-for-sino-iron
slow build</t>
        </r>
      </text>
    </comment>
    <comment ref="I16" authorId="0" shapeId="0" xr:uid="{143CF4D2-315E-D849-B0EF-6E2EDFAD40B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acquired</t>
        </r>
      </text>
    </comment>
    <comment ref="U18" authorId="0" shapeId="0" xr:uid="{DF5DEE19-7926-DF41-A9B6-7DFA2CCE23B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ramp up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T4" authorId="0" shapeId="0" xr:uid="{FE44130C-6476-2748-BF96-9664B68B725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Normalisation</t>
        </r>
      </text>
    </comment>
    <comment ref="W4" authorId="0" shapeId="0" xr:uid="{8D1EF82F-8996-484B-805B-E69B56FD828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Inflation 2%</t>
        </r>
      </text>
    </comment>
    <comment ref="B47" authorId="0" shapeId="0" xr:uid="{E8E2A96C-A3F1-9543-8581-6BAE7DE0EA7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Roughly 4% longer than the C5 Western Australia route (Average between sites)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3" authorId="0" shapeId="0" xr:uid="{00000000-0006-0000-0600-000004000000}">
      <text>
        <r>
          <rPr>
            <sz val="10"/>
            <rFont val="Arial"/>
            <family val="2"/>
          </rPr>
          <t>Benchmark switches to the 61% index from this column.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5" authorId="0" shapeId="0" xr:uid="{3BACAC86-F45B-6742-A9BC-71260A47E96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u/>
            <sz val="10"/>
            <color rgb="FF000000"/>
            <rFont val="Aptos Narrow"/>
          </rPr>
          <t>https://worldsteel.org/data/world-steel-in-figures/world-steel-in-figures-2026/</t>
        </r>
        <r>
          <rPr>
            <sz val="10"/>
            <color rgb="FF000000"/>
            <rFont val="Aptos Narrow"/>
          </rPr>
          <t xml:space="preserve">
</t>
        </r>
        <r>
          <rPr>
            <u/>
            <sz val="10"/>
            <color rgb="FF000000"/>
            <rFont val="Aptos Narrow"/>
          </rPr>
          <t>https://www.bhp.com/investor-hub/reports-and-presentations/economic-and-commodity-outlook/2026/08/economic-and-commodity-outlook</t>
        </r>
        <r>
          <rPr>
            <sz val="10"/>
            <color rgb="FF000000"/>
            <rFont val="Aptos Narrow"/>
          </rPr>
          <t xml:space="preserve">
</t>
        </r>
      </text>
    </comment>
    <comment ref="A7" authorId="0" shapeId="0" xr:uid="{2D3E3D63-F018-C542-B2D7-7FC632D0ABE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u/>
            <sz val="10"/>
            <color rgb="FF000000"/>
            <rFont val="Aptos Narrow"/>
          </rPr>
          <t>https://www.usgs.gov/centers/national-minerals-information-center/iron-ore-statistics-and-information</t>
        </r>
        <r>
          <rPr>
            <sz val="10"/>
            <color rgb="FF000000"/>
            <rFont val="Aptos Narrow"/>
          </rPr>
          <t xml:space="preserve">
</t>
        </r>
        <r>
          <rPr>
            <u/>
            <sz val="10"/>
            <color rgb="FF000000"/>
            <rFont val="Aptos Narrow"/>
          </rPr>
          <t>https://www.spglobal.com/market-intelligence/en/news-insights/research/iron-ore-to-play-key-role-in-a-decarbonized-future</t>
        </r>
        <r>
          <rPr>
            <sz val="10"/>
            <color rgb="FF000000"/>
            <rFont val="Aptos Narrow"/>
          </rPr>
          <t xml:space="preserve">
</t>
        </r>
      </text>
    </comment>
    <comment ref="A8" authorId="0" shapeId="0" xr:uid="{56241888-5891-F841-9863-E7059C4F5B9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https://worldsteel.org/about-steel/raw-materials/</t>
        </r>
      </text>
    </comment>
    <comment ref="A10" authorId="0" shapeId="0" xr:uid="{AD83DB52-572D-6C4C-9C0E-171A84F9DE0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Refinitiv</t>
        </r>
      </text>
    </comment>
    <comment ref="A11" authorId="0" shapeId="0" xr:uid="{1CE0665A-C55A-9848-8C00-71B70256AD3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Mongolian imports</t>
        </r>
      </text>
    </comment>
    <comment ref="A12" authorId="0" shapeId="0" xr:uid="{F65DD52B-3927-9A4A-9409-633C6C9331D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Refinitiv</t>
        </r>
      </text>
    </comment>
    <comment ref="A14" authorId="0" shapeId="0" xr:uid="{756FBCB7-AA27-B342-B6B6-E514580CD10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 line with Refinitiv</t>
        </r>
      </text>
    </comment>
    <comment ref="V14" authorId="0" shapeId="0" xr:uid="{55A6A5BD-4703-274B-B7D4-3581A5A801A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u/>
            <sz val="10"/>
            <color rgb="FF000000"/>
            <rFont val="Aptos Narrow"/>
          </rPr>
          <t>https://www.spglobal.com/market-intelligence/en/news-insights/research/iron-ore-to-play-key-role-in-a-decarbonized-future</t>
        </r>
        <r>
          <rPr>
            <sz val="10"/>
            <color rgb="FF000000"/>
            <rFont val="Aptos Narrow"/>
          </rPr>
          <t xml:space="preserve">
</t>
        </r>
      </text>
    </comment>
    <comment ref="AB14" authorId="0" shapeId="0" xr:uid="{73548077-CC93-E24E-B2F4-8A348C63701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u/>
            <sz val="10"/>
            <color rgb="FF000000"/>
            <rFont val="Aptos Narrow"/>
          </rPr>
          <t>https://www.spglobal.com/market-intelligence/en/news-insights/research/iron-ore-to-play-key-role-in-a-decarbonized-future</t>
        </r>
        <r>
          <rPr>
            <sz val="10"/>
            <color rgb="FF000000"/>
            <rFont val="Aptos Narrow"/>
          </rPr>
          <t xml:space="preserve">
</t>
        </r>
      </text>
    </comment>
    <comment ref="A15" authorId="0" shapeId="0" xr:uid="{816872F9-7595-5948-8DC2-BABC20A985D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Refinitiv</t>
        </r>
      </text>
    </comment>
    <comment ref="W16" authorId="0" shapeId="0" xr:uid="{547082D7-7BD6-C543-AA45-4A5C2FF5BA7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u/>
            <sz val="18"/>
            <color rgb="FF000000"/>
            <rFont val="Aptos Narrow"/>
          </rPr>
          <t>https://minerals.org.au/wp-content/uploads/2022/12/Commodity-Outlook-2030.pdf</t>
        </r>
        <r>
          <rPr>
            <sz val="18"/>
            <color rgb="FF000000"/>
            <rFont val="Aptos Narrow"/>
          </rPr>
          <t xml:space="preserve">
</t>
        </r>
        <r>
          <rPr>
            <u/>
            <sz val="18"/>
            <color rgb="FF000000"/>
            <rFont val="Aptos Narrow"/>
          </rPr>
          <t>https://www.sec.gov/Archives/edgar/data/917851/000129281426000092/vale20260112_6k.htm</t>
        </r>
        <r>
          <rPr>
            <sz val="18"/>
            <color rgb="FF000000"/>
            <rFont val="Aptos Narrow"/>
          </rPr>
          <t xml:space="preserve">
</t>
        </r>
      </text>
    </comment>
    <comment ref="AB16" authorId="0" shapeId="0" xr:uid="{43EC103E-2CF6-B44C-9A69-612D41A85E7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u/>
            <sz val="10"/>
            <color rgb="FF000000"/>
            <rFont val="Aptos Narrow"/>
          </rPr>
          <t>https://www.sec.gov/Archives/edgar/data/811809/000119312526354647/bhp-ex96_2.htm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<sst xmlns="http://schemas.openxmlformats.org/spreadsheetml/2006/main" count="1062" uniqueCount="398">
  <si>
    <t>Asset</t>
  </si>
  <si>
    <t>Operator</t>
  </si>
  <si>
    <t>Owner</t>
  </si>
  <si>
    <t>Country</t>
  </si>
  <si>
    <t>Region</t>
  </si>
  <si>
    <t>Port</t>
  </si>
  <si>
    <t>BHP</t>
  </si>
  <si>
    <t>Australia</t>
  </si>
  <si>
    <t>Pilbara</t>
  </si>
  <si>
    <t>Port Hedland</t>
  </si>
  <si>
    <t>Operating</t>
  </si>
  <si>
    <t>Rio Tinto</t>
  </si>
  <si>
    <t>Dampier + Cape Lambert</t>
  </si>
  <si>
    <t>Fortescue</t>
  </si>
  <si>
    <t>Vale</t>
  </si>
  <si>
    <t>Vale 100%</t>
  </si>
  <si>
    <t>Brazil</t>
  </si>
  <si>
    <t>Minas Gerais</t>
  </si>
  <si>
    <t>Mineral Resources</t>
  </si>
  <si>
    <t>Hancock 100%</t>
  </si>
  <si>
    <t>CITIC Pacific Mining</t>
  </si>
  <si>
    <t>Cape Preston</t>
  </si>
  <si>
    <t>South Africa</t>
  </si>
  <si>
    <t>Northern Cape</t>
  </si>
  <si>
    <t>Saldanha Bay</t>
  </si>
  <si>
    <t>Champion Iron</t>
  </si>
  <si>
    <t>Canada</t>
  </si>
  <si>
    <t>Labrador</t>
  </si>
  <si>
    <t>Sept-Îles</t>
  </si>
  <si>
    <t>Anglo American</t>
  </si>
  <si>
    <t>Açu</t>
  </si>
  <si>
    <t>Vale 50% / BHP 50%</t>
  </si>
  <si>
    <t>Sweden</t>
  </si>
  <si>
    <t>Norrbotten</t>
  </si>
  <si>
    <t>Narvik + Luleå</t>
  </si>
  <si>
    <t>Mauritania</t>
  </si>
  <si>
    <t>Tiris Zemmour</t>
  </si>
  <si>
    <t>Nouadhibou</t>
  </si>
  <si>
    <t>Peru</t>
  </si>
  <si>
    <t>San Nicolás</t>
  </si>
  <si>
    <t>Ukraine</t>
  </si>
  <si>
    <t>India</t>
  </si>
  <si>
    <t>Sierra Leone</t>
  </si>
  <si>
    <t>Guinea</t>
  </si>
  <si>
    <t>Morebaya</t>
  </si>
  <si>
    <t>Chile</t>
  </si>
  <si>
    <t>Atacama</t>
  </si>
  <si>
    <t>Mount Gibson</t>
  </si>
  <si>
    <t>Grange</t>
  </si>
  <si>
    <t>Tasmania</t>
  </si>
  <si>
    <t>Port Latta</t>
  </si>
  <si>
    <t>Route / asset</t>
  </si>
  <si>
    <t>Method</t>
  </si>
  <si>
    <t>Baltic C5: Western Australia to Qingdao</t>
  </si>
  <si>
    <t>Baltic C3: Brazil (Tubarao) to Qingdao</t>
  </si>
  <si>
    <t>Baltic C5 x 1.00</t>
  </si>
  <si>
    <t>Baltic C5 x 1.03</t>
  </si>
  <si>
    <t>Baltic C3 x 1.00</t>
  </si>
  <si>
    <t>Baltic C5 x 1.09</t>
  </si>
  <si>
    <t>Baltic C5 x 1.15</t>
  </si>
  <si>
    <t>China</t>
  </si>
  <si>
    <t>Asset Overview</t>
  </si>
  <si>
    <t>BHP 85% / ITOCHU 8% / Mitsui 7% (JV)</t>
  </si>
  <si>
    <t>Fortescue 100%</t>
  </si>
  <si>
    <t>BHP WAIO (5 Hubs)</t>
  </si>
  <si>
    <t>Rio Tinto Pilbara (8 Hubs)</t>
  </si>
  <si>
    <t>Fortescue Hematite (3 Hubs)</t>
  </si>
  <si>
    <t>Fortescue 69% / Formosa 31%</t>
  </si>
  <si>
    <t>Current Status</t>
  </si>
  <si>
    <t>Vale Northern System (3 Hubs)</t>
  </si>
  <si>
    <t>Ponta da Madeira</t>
  </si>
  <si>
    <t>Pará</t>
  </si>
  <si>
    <t>Tubarão</t>
  </si>
  <si>
    <t>Vale Southeastern System (3 Hubs)</t>
  </si>
  <si>
    <t>Vale Southern System (2 Hubs)</t>
  </si>
  <si>
    <t>Guaíba + Itaguaí</t>
  </si>
  <si>
    <t>Hancock 70% / Marubeni 15% / POSCO 12.5% / CSC 2.5%</t>
  </si>
  <si>
    <t xml:space="preserve">West Pilbara </t>
  </si>
  <si>
    <t>Port of Ashburton</t>
  </si>
  <si>
    <t xml:space="preserve">Operating </t>
  </si>
  <si>
    <t>Hancock Prospecting</t>
  </si>
  <si>
    <t>Hancock Atlas Iron (3 Hubs)</t>
  </si>
  <si>
    <t>Fortescue Iron Bridge Magnetite Project (1 Hub)</t>
  </si>
  <si>
    <t>Hancock Roy Hill (1 Hub)</t>
  </si>
  <si>
    <t>MinRes Onslow Iron (1 Hub)</t>
  </si>
  <si>
    <t>MinRes Pilbara Hub (1 Hub)</t>
  </si>
  <si>
    <t>CITIC Sino Iron (1 Hub)</t>
  </si>
  <si>
    <t>CITIC 100%</t>
  </si>
  <si>
    <t>Kumba (2 Hubs)</t>
  </si>
  <si>
    <t xml:space="preserve">Anglo 52.5% / Exxaro 20.62% / Other Kumba 22.9% / Other 4% </t>
  </si>
  <si>
    <t>Rio (HD - Hancock 50%; RV + WA - Mitsui 33% / Nippon 14%; WR - Baowu 46%)</t>
  </si>
  <si>
    <t>MinRes 60.3% / Baowu 18.7% / AMCI 10.7% / POSCO 10.3%</t>
  </si>
  <si>
    <t>MinRes 100%</t>
  </si>
  <si>
    <t>Champion Iron Bloom Lake (1 Hub)</t>
  </si>
  <si>
    <t>Champion 100%</t>
  </si>
  <si>
    <t>Québec</t>
  </si>
  <si>
    <t>Rio 58.7% / Mitsubishi 26.2% / LIORC 15.1%</t>
  </si>
  <si>
    <t>Rio Tinto IOC (1 Hub)</t>
  </si>
  <si>
    <t>CSN Mineração</t>
  </si>
  <si>
    <t>CSN (1 Hub)</t>
  </si>
  <si>
    <t>Itaguaí</t>
  </si>
  <si>
    <t>CSN 69.69% / Itochu 10.85% / JBIOP 9.35% / POSCO 1.88% / China Steel 0.41% / Other 7.82%</t>
  </si>
  <si>
    <t>Anglo 85% / Vale 15%</t>
  </si>
  <si>
    <t>Anglo Minas-Rio (1 Hub)</t>
  </si>
  <si>
    <t xml:space="preserve">Vale &amp; BHP </t>
  </si>
  <si>
    <t>Vale &amp; BHP Germano (1 Hub)</t>
  </si>
  <si>
    <t xml:space="preserve">Ubu </t>
  </si>
  <si>
    <t>LKAB (3 Hubs)</t>
  </si>
  <si>
    <t>Swedish State</t>
  </si>
  <si>
    <t>Mauritanian State</t>
  </si>
  <si>
    <t>SNIM (3 Hubs)</t>
  </si>
  <si>
    <t>Swedish State 100%</t>
  </si>
  <si>
    <t xml:space="preserve">Mauritanian State 78% / KIA 7.17% / AMC 5.66% / IFFED 4.59% / MONHYM 2.30% / IDB 1.79% / MPI 0.14% </t>
  </si>
  <si>
    <t>Shougang Group</t>
  </si>
  <si>
    <t>Shougang Group 98.52% / Peruvian Minorty Shareholders 1.48%</t>
  </si>
  <si>
    <t>Shougang Hierro Perú (1 Hub)</t>
  </si>
  <si>
    <t>Ica</t>
  </si>
  <si>
    <t>Pivdennyi</t>
  </si>
  <si>
    <t>Iran</t>
  </si>
  <si>
    <t>Simandou WCS Blocks 1&amp;2 (1 Hub)</t>
  </si>
  <si>
    <t>Simandou SimFer Blocks 3&amp;4 (1 Hub)</t>
  </si>
  <si>
    <t>Winning Consortium Simandou</t>
  </si>
  <si>
    <t>WCS 85% / Guinea 15%</t>
  </si>
  <si>
    <t>Beyla</t>
  </si>
  <si>
    <t>Rio Tinto / Chalco Iron Ore Holdings</t>
  </si>
  <si>
    <t>Rio Tinto 45.05% / Chalco Iron Ore Holdings 39.95% / Government of Guinea 15%</t>
  </si>
  <si>
    <t>Compañía Minera del Pacífico</t>
  </si>
  <si>
    <t>Mount Gibson (2 Hubs)</t>
  </si>
  <si>
    <t>Koolan Island / Gerladton</t>
  </si>
  <si>
    <t>Kimberley / Mid West</t>
  </si>
  <si>
    <t>Grange Resources (1 Hub)</t>
  </si>
  <si>
    <t>Grange 100%</t>
  </si>
  <si>
    <t>Mount Gibson 100%</t>
  </si>
  <si>
    <t>-</t>
  </si>
  <si>
    <t>Depleted</t>
  </si>
  <si>
    <t>Total seaborne Supply</t>
  </si>
  <si>
    <t>Gold Valley</t>
  </si>
  <si>
    <t>Karara (1 Hub)</t>
  </si>
  <si>
    <t>Yilgarn Iron (2 Hubs)</t>
  </si>
  <si>
    <t>Gold Valley Wiluna West (1 Hub)</t>
  </si>
  <si>
    <t>Middleback Ranges (1 System)</t>
  </si>
  <si>
    <t>Peak Iron (2 Hubs)</t>
  </si>
  <si>
    <t>Cairn Hill (1 Hub)</t>
  </si>
  <si>
    <t>Roper Bar (1 Hub)</t>
  </si>
  <si>
    <t>Peko Tailings (1 Hub)</t>
  </si>
  <si>
    <t>Warrego Tailings (1 Hub)</t>
  </si>
  <si>
    <t>Fenix Mid-West (3 Current Hubs)</t>
  </si>
  <si>
    <t>Ferrexpo</t>
  </si>
  <si>
    <t>Ferrexpo 100%</t>
  </si>
  <si>
    <t>Poltava</t>
  </si>
  <si>
    <t>Metinvest</t>
  </si>
  <si>
    <t>Metinvest 100%</t>
  </si>
  <si>
    <t>Kryvyi Rih</t>
  </si>
  <si>
    <t>Ferrexpo (2 Hubs)</t>
  </si>
  <si>
    <t>Metinvest Iron Ore (3 Hubs)</t>
  </si>
  <si>
    <t>Vedanta</t>
  </si>
  <si>
    <t>NMDC (2 Hubs)</t>
  </si>
  <si>
    <t>NMDC</t>
  </si>
  <si>
    <t>NMDC 100%</t>
  </si>
  <si>
    <t>Rungta Mines (1 Hub)</t>
  </si>
  <si>
    <t>Rungta Mines</t>
  </si>
  <si>
    <t>Rungta Mines 100%</t>
  </si>
  <si>
    <t>Odisha</t>
  </si>
  <si>
    <t>Vedanta 100%</t>
  </si>
  <si>
    <t>Goa + Karnataka</t>
  </si>
  <si>
    <t>Chhattisgarh + Karnataka</t>
  </si>
  <si>
    <t>Mormugao</t>
  </si>
  <si>
    <t>Visakhapatnam</t>
  </si>
  <si>
    <t>Paradip</t>
  </si>
  <si>
    <t>Vedanta (2 Hubs)</t>
  </si>
  <si>
    <t>Chadormalu (1 Hub)</t>
  </si>
  <si>
    <t>Chadormalu Mining &amp; Industrial</t>
  </si>
  <si>
    <t>Bafq</t>
  </si>
  <si>
    <t>Marampa (1 Hub)</t>
  </si>
  <si>
    <t>Gerald Group 90% / Government of Sierra Leone 10%</t>
  </si>
  <si>
    <t>Port Loko</t>
  </si>
  <si>
    <t>Freetown</t>
  </si>
  <si>
    <t>Tonkolili (1 Hub)</t>
  </si>
  <si>
    <t>Tonkolili</t>
  </si>
  <si>
    <t>Pepel</t>
  </si>
  <si>
    <t>Kingho Mining 100%</t>
  </si>
  <si>
    <t>Karara Mining Ltd</t>
  </si>
  <si>
    <t>Ansteel Group 100%</t>
  </si>
  <si>
    <t>Geraldton</t>
  </si>
  <si>
    <t>Yilgarn Iron</t>
  </si>
  <si>
    <t>Yilgarn Iron Investments 100%</t>
  </si>
  <si>
    <t>Esperance</t>
  </si>
  <si>
    <t>Fenix Resources</t>
  </si>
  <si>
    <t>Gold Valley 100%</t>
  </si>
  <si>
    <t>OneSteel Manufacturing / SIMEC Mining</t>
  </si>
  <si>
    <t>Whyalla</t>
  </si>
  <si>
    <t>Peak Iron Mines</t>
  </si>
  <si>
    <t>Peak Iron 100%</t>
  </si>
  <si>
    <t>Cu-River Mining Australia</t>
  </si>
  <si>
    <t>Cu-River Mining Australia 100%</t>
  </si>
  <si>
    <t>Port Adelaide</t>
  </si>
  <si>
    <t>Nathan River Resources</t>
  </si>
  <si>
    <t>Bing Bong</t>
  </si>
  <si>
    <t>Central Core Pty Ltd</t>
  </si>
  <si>
    <t>Darwin</t>
  </si>
  <si>
    <t>Fenix 100%</t>
  </si>
  <si>
    <t>Suspended</t>
  </si>
  <si>
    <t>Idle</t>
  </si>
  <si>
    <t>Mid West</t>
  </si>
  <si>
    <t>Yilgarn</t>
  </si>
  <si>
    <t>Wiluna / Yilgarn</t>
  </si>
  <si>
    <t>Whyalla / Eyre Peninsula</t>
  </si>
  <si>
    <t>North Gawler</t>
  </si>
  <si>
    <t>Gawler Craton</t>
  </si>
  <si>
    <t>Roper Gulf</t>
  </si>
  <si>
    <t>Tennant Creek</t>
  </si>
  <si>
    <t>OneSteel Manufacturing 100%</t>
  </si>
  <si>
    <t>Nathan River Resources 100%</t>
  </si>
  <si>
    <t>Northern Iron 100%</t>
  </si>
  <si>
    <t>Central Core 100%</t>
  </si>
  <si>
    <t>N/A</t>
  </si>
  <si>
    <t>N+C Operating; I Idle</t>
  </si>
  <si>
    <t>Los Colorados (1 Hub)</t>
  </si>
  <si>
    <t>Guacolda II</t>
  </si>
  <si>
    <t>Punta Totoralillo</t>
  </si>
  <si>
    <t>El Romeral (1 Hub)</t>
  </si>
  <si>
    <t>Coquimbo</t>
  </si>
  <si>
    <t>Guayacán</t>
  </si>
  <si>
    <t>CMP Los Colorados (1 Hub)</t>
  </si>
  <si>
    <t>CMP El Romeral (1 Hub)</t>
  </si>
  <si>
    <t>CMP Copiapó Valley (1 Hub)</t>
  </si>
  <si>
    <t>Usiminas 70% / Sumitomo 30%</t>
  </si>
  <si>
    <t>Porto Sudeste</t>
  </si>
  <si>
    <t>Trafigura 50% / Mubadala 50%</t>
  </si>
  <si>
    <t>Grupo J. Mendes 100%</t>
  </si>
  <si>
    <t>Cedro Participações 100%</t>
  </si>
  <si>
    <t>Herculano Family 100%</t>
  </si>
  <si>
    <t>Sepetiba Bay ports</t>
  </si>
  <si>
    <t>Serra Azul</t>
  </si>
  <si>
    <t>Sarzedo</t>
  </si>
  <si>
    <t>Congonhas</t>
  </si>
  <si>
    <t>Mariana</t>
  </si>
  <si>
    <t>Itabirito</t>
  </si>
  <si>
    <t>Itatiaiuçu</t>
  </si>
  <si>
    <t>Argeu Géo 50% / AVG Group 50%</t>
  </si>
  <si>
    <t>Kingho Mining</t>
  </si>
  <si>
    <t>Gerald Group</t>
  </si>
  <si>
    <t>CMP 75% / Mitsubishi 25%</t>
  </si>
  <si>
    <t>Usiminas</t>
  </si>
  <si>
    <t xml:space="preserve">Trafigura / Mubadala </t>
  </si>
  <si>
    <t>Argeu Géo / AVG Group</t>
  </si>
  <si>
    <t>AVG  Group</t>
  </si>
  <si>
    <t>AVG  Group 100%</t>
  </si>
  <si>
    <t>Cedro Mineração (2 Hubs)</t>
  </si>
  <si>
    <t>Mineração Usiminas (1 Hub)</t>
  </si>
  <si>
    <t>Morro do Ipê (1 Hub)</t>
  </si>
  <si>
    <t>Itaminas (1 Hub)</t>
  </si>
  <si>
    <t>Mineração Esperança (1 Hub)</t>
  </si>
  <si>
    <t>JMN Mineração (1 Hub)</t>
  </si>
  <si>
    <t>Ferro+ Mineração (1 Hub)</t>
  </si>
  <si>
    <t>Herculano Mineração (1 Hub)</t>
  </si>
  <si>
    <t>Minerita (1 Hub)</t>
  </si>
  <si>
    <t>São Joaquim de Bicas</t>
  </si>
  <si>
    <t xml:space="preserve">Grupo J. Mendes </t>
  </si>
  <si>
    <t>Desterro de Entre Rios</t>
  </si>
  <si>
    <t>Cedro Participações</t>
  </si>
  <si>
    <t>Herculano Family</t>
  </si>
  <si>
    <t>Companhia Portuária Baía de Sepetiba</t>
  </si>
  <si>
    <t>Lemos Family</t>
  </si>
  <si>
    <t>Lemos Family (Majority)</t>
  </si>
  <si>
    <t>Gol Gohar Mining &amp; Industrial</t>
  </si>
  <si>
    <t xml:space="preserve">Omid Investment 34.3% / MMDIC 22.5% / Mobarakeh Steel 6.5% / Others 36.7% </t>
  </si>
  <si>
    <t>Goharzamin (1 Hub)</t>
  </si>
  <si>
    <t>Goharzamin Iron Ore</t>
  </si>
  <si>
    <t xml:space="preserve">Gol Gohar 28% / Omid 26% / Ghadir 21% / MMDIC 19% / Others 6% </t>
  </si>
  <si>
    <t xml:space="preserve">Omid Investment 33.9% / MMDIC 17.2% / Mobarakeh Steel 11.0% / Others 37.9% </t>
  </si>
  <si>
    <t>Sangan Iron Ore (1 Hub)</t>
  </si>
  <si>
    <t>Sangan Iron Ore Co.</t>
  </si>
  <si>
    <t xml:space="preserve">National Iranian Steel Co. (NISCO) 100% </t>
  </si>
  <si>
    <t>Iran Central Iron Ore (1 Hub)</t>
  </si>
  <si>
    <t>Iran Central Iron Ore Co.</t>
  </si>
  <si>
    <t>Sirjan Iranian Steel (1 Hub)</t>
  </si>
  <si>
    <t>Sirjan Iranian Steel (SISCO)</t>
  </si>
  <si>
    <t xml:space="preserve">MIDHCO 84.3% / Pasargad Insurance 5.1% / Others 10.6% </t>
  </si>
  <si>
    <t>Opal Parsian Sangan (1 Hub)</t>
  </si>
  <si>
    <t>Opal Parsian Sangan</t>
  </si>
  <si>
    <t xml:space="preserve">Kani Sazan Kimia 90.7% / Parsian Financial Group 1.9% / Parsian Investment 1.0% / Others 6.3% </t>
  </si>
  <si>
    <t>Sirjan</t>
  </si>
  <si>
    <t>Sangan</t>
  </si>
  <si>
    <t>Shahid Rajaee</t>
  </si>
  <si>
    <t>Gol-e-Gohar (1 Hub)</t>
  </si>
  <si>
    <t>ArcelorMittal Mining Canada (1 System)</t>
  </si>
  <si>
    <t>AMMC</t>
  </si>
  <si>
    <t>Port-Cartier</t>
  </si>
  <si>
    <t>Assmang Iron Ore (2 Hubs)</t>
  </si>
  <si>
    <t>Assmang</t>
  </si>
  <si>
    <t>African Rainbow Minerals 50% / Assore 50%</t>
  </si>
  <si>
    <t>ArcelorMittal Liberia (1 Hub)</t>
  </si>
  <si>
    <t>ArcelorMittal Liberia</t>
  </si>
  <si>
    <t>ArcelorMittal 85% / Government of Liberia 15%</t>
  </si>
  <si>
    <t>Liberia</t>
  </si>
  <si>
    <t>Nimba County</t>
  </si>
  <si>
    <t>Buchanan</t>
  </si>
  <si>
    <t>Baffinland Mary River (1 Hub)</t>
  </si>
  <si>
    <t>Baffinland</t>
  </si>
  <si>
    <t>Milne Port</t>
  </si>
  <si>
    <t>Tacora Scully (1 Hub)</t>
  </si>
  <si>
    <t>Tacora Resources</t>
  </si>
  <si>
    <t>Tata Steel Minerals Canada (1 Hub)</t>
  </si>
  <si>
    <t>Tata Steel 82% / Government of Québec 18%</t>
  </si>
  <si>
    <t>Kaunis Iron (1 Hub)</t>
  </si>
  <si>
    <t>Kaunis Iron</t>
  </si>
  <si>
    <t>Kaunis Holding 100%</t>
  </si>
  <si>
    <t>Narvik</t>
  </si>
  <si>
    <t>Rana Gruber (1 Hub)</t>
  </si>
  <si>
    <t>Champion Iron 100%</t>
  </si>
  <si>
    <t>Norway</t>
  </si>
  <si>
    <t>Mo i Rana</t>
  </si>
  <si>
    <t>Sydvaranger (1 Hub)</t>
  </si>
  <si>
    <t>Grangex 100%</t>
  </si>
  <si>
    <t>Kirkenes</t>
  </si>
  <si>
    <t>ArcelorMittal Mining Canada (1 Hub)</t>
  </si>
  <si>
    <t>ArcelorMittal 85% / Québec consortium 15%</t>
  </si>
  <si>
    <t>EMG / Nunavut Iron Ore 74.77% / ArcelorMittal 25.23%</t>
  </si>
  <si>
    <t>Grangex</t>
  </si>
  <si>
    <t>Tata Steel</t>
  </si>
  <si>
    <t>Fermont</t>
  </si>
  <si>
    <t>North Baffin</t>
  </si>
  <si>
    <t>Wabush</t>
  </si>
  <si>
    <t>Menihek</t>
  </si>
  <si>
    <t>Pajala</t>
  </si>
  <si>
    <t>Dunderland Valley</t>
  </si>
  <si>
    <t>Development</t>
  </si>
  <si>
    <t>Opaque Producer Supply</t>
  </si>
  <si>
    <t>Grade (%)</t>
  </si>
  <si>
    <t>Moisture (%)</t>
  </si>
  <si>
    <t>Fe Benchmark</t>
  </si>
  <si>
    <t>Supply Restated in Benchmark-Grade</t>
  </si>
  <si>
    <t>Royalties (%)</t>
  </si>
  <si>
    <t>62% Realisation (%)</t>
  </si>
  <si>
    <t>61% Realisation (%)</t>
  </si>
  <si>
    <t>Assumptions by Asset (Representative Shipped Product, Fines Prioritised Where Applicable)</t>
  </si>
  <si>
    <t>FOB by Asset – Excl. Royalties &amp; Freight, USD wmt | 2% Inflation</t>
  </si>
  <si>
    <t>Seaborne Supply by Asset wmt</t>
  </si>
  <si>
    <t>Freight Cost to Qingdao by Asset, USD wmt</t>
  </si>
  <si>
    <t>Baltic C3 x 1.05</t>
  </si>
  <si>
    <t>Baltic C3 x 1.06</t>
  </si>
  <si>
    <t>Baltic C3 x 1.01</t>
  </si>
  <si>
    <t>Baltic C3 x 0.73</t>
  </si>
  <si>
    <t>Baltic C3 x 1.27</t>
  </si>
  <si>
    <t>Baltic C3 x 0.99</t>
  </si>
  <si>
    <t>Baltic C3 x 0.83</t>
  </si>
  <si>
    <t>Baltic C3 x 0.78</t>
  </si>
  <si>
    <t>Baltic C5 x 1.21</t>
  </si>
  <si>
    <t>Baltic C5 x 1.10</t>
  </si>
  <si>
    <t>Baltic C5 x 1.62</t>
  </si>
  <si>
    <t>Baltic C3 x 0.98</t>
  </si>
  <si>
    <t>Baltic C3 x 0.90</t>
  </si>
  <si>
    <t>Baltic C3 x 0.89</t>
  </si>
  <si>
    <t>Baltic C5 x 1.04</t>
  </si>
  <si>
    <t>Baltic C5 x 1.54</t>
  </si>
  <si>
    <t>Baltic C3 x 1.04</t>
  </si>
  <si>
    <t>Baltic C5 x 1.34</t>
  </si>
  <si>
    <t>Baltic C5 x 1.33</t>
  </si>
  <si>
    <t>Baltic C5 x 1.14</t>
  </si>
  <si>
    <t>Baltic C5 x 1.59</t>
  </si>
  <si>
    <t>Baltic C5 x 1.56</t>
  </si>
  <si>
    <t>Baltic C5 x 0.94</t>
  </si>
  <si>
    <t>Baltic C5 x 0.98</t>
  </si>
  <si>
    <t>Baltic C3 x 0.71</t>
  </si>
  <si>
    <t>Baltic C3 x 1.25</t>
  </si>
  <si>
    <t>Baltic C3 x 1.97</t>
  </si>
  <si>
    <t>Baltic C3 x 1.24</t>
  </si>
  <si>
    <t>Baltic C3 x 1.11</t>
  </si>
  <si>
    <t>Baltic C3 x 0.81</t>
  </si>
  <si>
    <t>Baltic C5 x 0.60 + Baltic C5 x 0.40</t>
  </si>
  <si>
    <t>Baltic Freight Multiplier</t>
  </si>
  <si>
    <t>CFR Cash Break-Even Cost at Qingdao USD dtm | Royalty-Adjusted FOB Cost Plus Freight</t>
  </si>
  <si>
    <t>Qingdao CFR Cash Cost – Benchmark Grade Equivalent</t>
  </si>
  <si>
    <t>Crude Steel Production</t>
  </si>
  <si>
    <t>Implied Blast-Furnace Share</t>
  </si>
  <si>
    <t>Blast-Furnace Iron / Hot Metal</t>
  </si>
  <si>
    <t>Ore Intensity (Ore / Hot Metal)</t>
  </si>
  <si>
    <t>Gross Ore Requirement</t>
  </si>
  <si>
    <t>China Domestic Usable Iron Ore</t>
  </si>
  <si>
    <t>Overland Iron Ore Imports</t>
  </si>
  <si>
    <t>Change in Visible Port Inventory</t>
  </si>
  <si>
    <t>Statistical / product-mix calibration</t>
  </si>
  <si>
    <t>China Seaborne Imports</t>
  </si>
  <si>
    <t>Other Seaborne Demand</t>
  </si>
  <si>
    <t>Total Seaborne Demand</t>
  </si>
  <si>
    <t>Implied China Share of Demand</t>
  </si>
  <si>
    <t>Bottom-Up Seaborne Demand Build wmt</t>
  </si>
  <si>
    <t>Driver</t>
  </si>
  <si>
    <t>China’s seaborne iron ore requirement, based on steelmaking demand after accounting for domestic and overland supply.</t>
  </si>
  <si>
    <t>Columns up to 2025 are adjusted to the 62% iron benchmark; Columns from 2026 onward are adjusted to the 61%</t>
  </si>
  <si>
    <t>Baltic C5 (Western Australia–Qingdao) and C3 (Brazil–Qingdao) freight benchmarks; Historical values are rounded annual averages from shipping market reports; other assets use the nearest Baltic route scaled by a fixed asset-specific multiplier</t>
  </si>
  <si>
    <t>Year</t>
  </si>
  <si>
    <t>DXY</t>
  </si>
  <si>
    <t>BDI</t>
  </si>
  <si>
    <t>P</t>
  </si>
  <si>
    <t>GDP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</si>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</sst>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#0.0;\(#0.0\);\-"/>
    <numFmt numFmtId="167" formatCode="#0.00;\(#0.00\);\-"/>
    <numFmt numFmtId="168" formatCode="0.00;\-0.00;\-"/>
    <numFmt numFmtId="169" formatCode="0.00;[Red]\(0.00\);\-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sz val="10"/>
      <color theme="1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</font>
    <font>
      <sz val="12"/>
      <color theme="1"/>
      <name val="Helvetica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00"/>
      <name val="Aptos Narrow"/>
    </font>
    <font>
      <sz val="10"/>
      <color rgb="FF000000"/>
      <name val="Aptos Narrow"/>
    </font>
    <font>
      <u/>
      <sz val="18"/>
      <color rgb="FF000000"/>
      <name val="Aptos Narrow"/>
    </font>
    <font>
      <sz val="18"/>
      <color rgb="FF000000"/>
      <name val="Aptos Narrow"/>
    </font>
    <font>
      <i/>
      <sz val="10"/>
      <color rgb="FF1F497D"/>
      <name val="Arial"/>
      <family val="2"/>
    </font>
    <font>
      <sz val="10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1F497D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FBDADA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/>
    <xf numFmtId="0" fontId="3" fillId="0" borderId="0" xfId="0" applyFont="1"/>
    <xf numFmtId="1" fontId="3" fillId="0" borderId="0" xfId="0" applyNumberFormat="1" applyFont="1"/>
    <xf numFmtId="0" fontId="2" fillId="0" borderId="0" xfId="0" applyFont="1"/>
    <xf numFmtId="1" fontId="2" fillId="0" borderId="0" xfId="0" applyNumberFormat="1" applyFont="1"/>
    <xf numFmtId="165" fontId="3" fillId="0" borderId="0" xfId="0" applyNumberFormat="1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right"/>
    </xf>
    <xf numFmtId="9" fontId="6" fillId="0" borderId="0" xfId="0" applyNumberFormat="1" applyFont="1"/>
    <xf numFmtId="10" fontId="6" fillId="0" borderId="0" xfId="0" applyNumberFormat="1" applyFont="1"/>
    <xf numFmtId="10" fontId="9" fillId="0" borderId="0" xfId="0" applyNumberFormat="1" applyFont="1"/>
    <xf numFmtId="0" fontId="11" fillId="0" borderId="0" xfId="0" applyFont="1"/>
    <xf numFmtId="0" fontId="14" fillId="0" borderId="0" xfId="0" applyFont="1" applyAlignment="1">
      <alignment horizontal="left"/>
    </xf>
    <xf numFmtId="166" fontId="14" fillId="0" borderId="0" xfId="0" applyNumberFormat="1" applyFont="1" applyAlignment="1">
      <alignment horizontal="right"/>
    </xf>
    <xf numFmtId="9" fontId="14" fillId="0" borderId="0" xfId="1" applyFont="1" applyAlignment="1">
      <alignment horizontal="right"/>
    </xf>
    <xf numFmtId="0" fontId="14" fillId="3" borderId="1" xfId="0" applyFont="1" applyFill="1" applyBorder="1" applyAlignment="1">
      <alignment horizontal="left"/>
    </xf>
    <xf numFmtId="166" fontId="14" fillId="3" borderId="1" xfId="0" applyNumberFormat="1" applyFont="1" applyFill="1" applyBorder="1" applyAlignment="1">
      <alignment horizontal="right"/>
    </xf>
    <xf numFmtId="0" fontId="15" fillId="3" borderId="2" xfId="0" applyFont="1" applyFill="1" applyBorder="1" applyAlignment="1">
      <alignment horizontal="left"/>
    </xf>
    <xf numFmtId="166" fontId="15" fillId="3" borderId="2" xfId="0" applyNumberFormat="1" applyFont="1" applyFill="1" applyBorder="1" applyAlignment="1">
      <alignment horizontal="right"/>
    </xf>
    <xf numFmtId="0" fontId="15" fillId="3" borderId="3" xfId="0" applyFont="1" applyFill="1" applyBorder="1" applyAlignment="1">
      <alignment horizontal="left"/>
    </xf>
    <xf numFmtId="166" fontId="15" fillId="3" borderId="3" xfId="0" applyNumberFormat="1" applyFont="1" applyFill="1" applyBorder="1" applyAlignment="1">
      <alignment horizontal="right"/>
    </xf>
    <xf numFmtId="0" fontId="20" fillId="0" borderId="0" xfId="0" applyFont="1" applyAlignment="1">
      <alignment horizontal="left"/>
    </xf>
    <xf numFmtId="9" fontId="20" fillId="0" borderId="0" xfId="1" applyFont="1" applyAlignment="1">
      <alignment horizontal="right"/>
    </xf>
    <xf numFmtId="0" fontId="21" fillId="0" borderId="0" xfId="0" applyFont="1"/>
    <xf numFmtId="0" fontId="22" fillId="0" borderId="0" xfId="0" applyFont="1"/>
    <xf numFmtId="0" fontId="23" fillId="0" borderId="0" xfId="0" applyFont="1"/>
    <xf numFmtId="1" fontId="22" fillId="0" borderId="0" xfId="0" applyNumberFormat="1" applyFont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0" xfId="0" applyNumberFormat="1" applyFont="1"/>
    <xf numFmtId="167" fontId="6" fillId="0" borderId="0" xfId="0" applyNumberFormat="1" applyFont="1"/>
    <xf numFmtId="168" fontId="24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166" fontId="24" fillId="0" borderId="0" xfId="0" applyNumberFormat="1" applyFont="1"/>
    <xf numFmtId="0" fontId="25" fillId="0" borderId="0" xfId="0" applyFont="1"/>
    <xf numFmtId="0" fontId="24" fillId="0" borderId="0" xfId="0" applyFont="1"/>
    <xf numFmtId="1" fontId="6" fillId="0" borderId="0" xfId="0" applyNumberFormat="1" applyFont="1"/>
    <xf numFmtId="169" fontId="24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04C4F"/>
      <color rgb="FF1F497D"/>
      <color rgb="FF948A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8A54"/>
  </sheetPr>
  <dimension ref="A1:G72"/>
  <sheetViews>
    <sheetView zoomScale="41" zoomScaleNormal="65" workbookViewId="0">
      <pane xSplit="1" ySplit="1" topLeftCell="B63" activePane="bottomRight" state="frozen"/>
      <selection pane="topRight" activeCell="B1" sqref="B1"/>
      <selection pane="bottomLeft" activeCell="A2" sqref="A2"/>
      <selection pane="bottomRight" activeCell="B53" sqref="B52:B53"/>
    </sheetView>
  </sheetViews>
  <sheetFormatPr baseColWidth="10" defaultColWidth="8.6640625" defaultRowHeight="14" x14ac:dyDescent="0.2"/>
  <cols>
    <col min="1" max="1" width="54.5" style="7" bestFit="1" customWidth="1"/>
    <col min="2" max="2" width="39.33203125" style="7" bestFit="1" customWidth="1"/>
    <col min="3" max="3" width="75.5" style="7" bestFit="1" customWidth="1"/>
    <col min="4" max="4" width="14.33203125" style="7" bestFit="1" customWidth="1"/>
    <col min="5" max="5" width="34.5" style="7" bestFit="1" customWidth="1"/>
    <col min="6" max="6" width="33.83203125" style="7" bestFit="1" customWidth="1"/>
    <col min="7" max="7" width="38.5" style="7" bestFit="1" customWidth="1"/>
    <col min="8" max="16384" width="8.6640625" style="7"/>
  </cols>
  <sheetData>
    <row r="1" spans="1:7" x14ac:dyDescent="0.2">
      <c r="A1" s="9" t="s">
        <v>61</v>
      </c>
    </row>
    <row r="2" spans="1:7" x14ac:dyDescent="0.2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68</v>
      </c>
    </row>
    <row r="3" spans="1:7" x14ac:dyDescent="0.2">
      <c r="A3" s="7" t="s">
        <v>64</v>
      </c>
      <c r="B3" s="7" t="s">
        <v>6</v>
      </c>
      <c r="C3" s="7" t="s">
        <v>62</v>
      </c>
      <c r="D3" s="7" t="s">
        <v>7</v>
      </c>
      <c r="E3" s="7" t="s">
        <v>8</v>
      </c>
      <c r="F3" s="7" t="s">
        <v>9</v>
      </c>
      <c r="G3" s="7" t="s">
        <v>10</v>
      </c>
    </row>
    <row r="4" spans="1:7" x14ac:dyDescent="0.2">
      <c r="A4" s="7" t="s">
        <v>65</v>
      </c>
      <c r="B4" s="7" t="s">
        <v>11</v>
      </c>
      <c r="C4" s="7" t="s">
        <v>90</v>
      </c>
      <c r="D4" s="7" t="s">
        <v>7</v>
      </c>
      <c r="E4" s="7" t="s">
        <v>8</v>
      </c>
      <c r="F4" s="7" t="s">
        <v>12</v>
      </c>
      <c r="G4" s="7" t="s">
        <v>10</v>
      </c>
    </row>
    <row r="5" spans="1:7" x14ac:dyDescent="0.2">
      <c r="A5" s="7" t="s">
        <v>66</v>
      </c>
      <c r="B5" s="7" t="s">
        <v>13</v>
      </c>
      <c r="C5" s="7" t="s">
        <v>63</v>
      </c>
      <c r="D5" s="7" t="s">
        <v>7</v>
      </c>
      <c r="E5" s="7" t="s">
        <v>8</v>
      </c>
      <c r="F5" s="7" t="s">
        <v>9</v>
      </c>
      <c r="G5" s="7" t="s">
        <v>10</v>
      </c>
    </row>
    <row r="6" spans="1:7" x14ac:dyDescent="0.2">
      <c r="A6" s="7" t="s">
        <v>82</v>
      </c>
      <c r="B6" s="7" t="s">
        <v>13</v>
      </c>
      <c r="C6" s="7" t="s">
        <v>67</v>
      </c>
      <c r="D6" s="7" t="s">
        <v>7</v>
      </c>
      <c r="E6" s="7" t="s">
        <v>8</v>
      </c>
      <c r="F6" s="7" t="s">
        <v>9</v>
      </c>
      <c r="G6" s="7" t="s">
        <v>10</v>
      </c>
    </row>
    <row r="7" spans="1:7" x14ac:dyDescent="0.2">
      <c r="A7" s="7" t="s">
        <v>69</v>
      </c>
      <c r="B7" s="7" t="s">
        <v>14</v>
      </c>
      <c r="C7" s="7" t="s">
        <v>15</v>
      </c>
      <c r="D7" s="7" t="s">
        <v>16</v>
      </c>
      <c r="E7" s="7" t="s">
        <v>71</v>
      </c>
      <c r="F7" s="7" t="s">
        <v>70</v>
      </c>
      <c r="G7" s="7" t="s">
        <v>10</v>
      </c>
    </row>
    <row r="8" spans="1:7" x14ac:dyDescent="0.2">
      <c r="A8" s="7" t="s">
        <v>73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72</v>
      </c>
      <c r="G8" s="7" t="s">
        <v>10</v>
      </c>
    </row>
    <row r="9" spans="1:7" x14ac:dyDescent="0.2">
      <c r="A9" s="7" t="s">
        <v>74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75</v>
      </c>
      <c r="G9" s="7" t="s">
        <v>10</v>
      </c>
    </row>
    <row r="10" spans="1:7" x14ac:dyDescent="0.2">
      <c r="A10" s="7" t="s">
        <v>83</v>
      </c>
      <c r="B10" s="7" t="s">
        <v>80</v>
      </c>
      <c r="C10" s="7" t="s">
        <v>76</v>
      </c>
      <c r="D10" s="7" t="s">
        <v>7</v>
      </c>
      <c r="E10" s="7" t="s">
        <v>8</v>
      </c>
      <c r="F10" s="7" t="s">
        <v>9</v>
      </c>
      <c r="G10" s="7" t="s">
        <v>10</v>
      </c>
    </row>
    <row r="11" spans="1:7" x14ac:dyDescent="0.2">
      <c r="A11" s="7" t="s">
        <v>84</v>
      </c>
      <c r="B11" s="7" t="s">
        <v>18</v>
      </c>
      <c r="C11" s="7" t="s">
        <v>91</v>
      </c>
      <c r="D11" s="7" t="s">
        <v>7</v>
      </c>
      <c r="E11" s="7" t="s">
        <v>77</v>
      </c>
      <c r="F11" s="7" t="s">
        <v>78</v>
      </c>
      <c r="G11" s="7" t="s">
        <v>10</v>
      </c>
    </row>
    <row r="12" spans="1:7" x14ac:dyDescent="0.2">
      <c r="A12" s="7" t="s">
        <v>85</v>
      </c>
      <c r="B12" s="7" t="s">
        <v>18</v>
      </c>
      <c r="C12" s="7" t="s">
        <v>92</v>
      </c>
      <c r="D12" s="7" t="s">
        <v>7</v>
      </c>
      <c r="E12" s="7" t="s">
        <v>8</v>
      </c>
      <c r="F12" s="7" t="s">
        <v>9</v>
      </c>
      <c r="G12" s="7" t="s">
        <v>79</v>
      </c>
    </row>
    <row r="13" spans="1:7" x14ac:dyDescent="0.2">
      <c r="A13" s="7" t="s">
        <v>81</v>
      </c>
      <c r="B13" s="7" t="s">
        <v>80</v>
      </c>
      <c r="C13" s="7" t="s">
        <v>19</v>
      </c>
      <c r="D13" s="7" t="s">
        <v>7</v>
      </c>
      <c r="E13" s="7" t="s">
        <v>8</v>
      </c>
      <c r="F13" s="7" t="s">
        <v>9</v>
      </c>
      <c r="G13" s="7" t="s">
        <v>10</v>
      </c>
    </row>
    <row r="14" spans="1:7" x14ac:dyDescent="0.2">
      <c r="A14" s="7" t="s">
        <v>86</v>
      </c>
      <c r="B14" s="7" t="s">
        <v>20</v>
      </c>
      <c r="C14" s="7" t="s">
        <v>87</v>
      </c>
      <c r="D14" s="7" t="s">
        <v>7</v>
      </c>
      <c r="E14" s="7" t="s">
        <v>8</v>
      </c>
      <c r="F14" s="7" t="s">
        <v>21</v>
      </c>
      <c r="G14" s="7" t="s">
        <v>10</v>
      </c>
    </row>
    <row r="15" spans="1:7" x14ac:dyDescent="0.2">
      <c r="A15" s="7" t="s">
        <v>88</v>
      </c>
      <c r="B15" s="7" t="s">
        <v>29</v>
      </c>
      <c r="C15" s="7" t="s">
        <v>89</v>
      </c>
      <c r="D15" s="7" t="s">
        <v>22</v>
      </c>
      <c r="E15" s="7" t="s">
        <v>23</v>
      </c>
      <c r="F15" s="7" t="s">
        <v>24</v>
      </c>
      <c r="G15" s="7" t="s">
        <v>10</v>
      </c>
    </row>
    <row r="16" spans="1:7" x14ac:dyDescent="0.2">
      <c r="A16" s="7" t="s">
        <v>93</v>
      </c>
      <c r="B16" s="7" t="s">
        <v>25</v>
      </c>
      <c r="C16" s="7" t="s">
        <v>94</v>
      </c>
      <c r="D16" s="7" t="s">
        <v>26</v>
      </c>
      <c r="E16" s="7" t="s">
        <v>95</v>
      </c>
      <c r="F16" s="7" t="s">
        <v>28</v>
      </c>
      <c r="G16" s="7" t="s">
        <v>10</v>
      </c>
    </row>
    <row r="17" spans="1:7" x14ac:dyDescent="0.2">
      <c r="A17" s="7" t="s">
        <v>97</v>
      </c>
      <c r="B17" s="7" t="s">
        <v>11</v>
      </c>
      <c r="C17" s="7" t="s">
        <v>96</v>
      </c>
      <c r="D17" s="7" t="s">
        <v>26</v>
      </c>
      <c r="E17" s="7" t="s">
        <v>27</v>
      </c>
      <c r="F17" s="7" t="s">
        <v>28</v>
      </c>
      <c r="G17" s="7" t="s">
        <v>10</v>
      </c>
    </row>
    <row r="18" spans="1:7" x14ac:dyDescent="0.2">
      <c r="A18" s="7" t="s">
        <v>99</v>
      </c>
      <c r="B18" s="7" t="s">
        <v>98</v>
      </c>
      <c r="C18" s="7" t="s">
        <v>101</v>
      </c>
      <c r="D18" s="7" t="s">
        <v>16</v>
      </c>
      <c r="E18" s="7" t="s">
        <v>17</v>
      </c>
      <c r="F18" s="7" t="s">
        <v>100</v>
      </c>
      <c r="G18" s="7" t="s">
        <v>10</v>
      </c>
    </row>
    <row r="19" spans="1:7" x14ac:dyDescent="0.2">
      <c r="A19" s="7" t="s">
        <v>103</v>
      </c>
      <c r="B19" s="7" t="s">
        <v>29</v>
      </c>
      <c r="C19" s="7" t="s">
        <v>102</v>
      </c>
      <c r="D19" s="7" t="s">
        <v>16</v>
      </c>
      <c r="E19" s="7" t="s">
        <v>17</v>
      </c>
      <c r="F19" s="7" t="s">
        <v>30</v>
      </c>
      <c r="G19" s="7" t="s">
        <v>10</v>
      </c>
    </row>
    <row r="20" spans="1:7" x14ac:dyDescent="0.2">
      <c r="A20" s="7" t="s">
        <v>105</v>
      </c>
      <c r="B20" s="7" t="s">
        <v>104</v>
      </c>
      <c r="C20" s="7" t="s">
        <v>31</v>
      </c>
      <c r="D20" s="7" t="s">
        <v>16</v>
      </c>
      <c r="E20" s="7" t="s">
        <v>17</v>
      </c>
      <c r="F20" s="7" t="s">
        <v>106</v>
      </c>
      <c r="G20" s="7" t="s">
        <v>10</v>
      </c>
    </row>
    <row r="21" spans="1:7" x14ac:dyDescent="0.2">
      <c r="A21" s="7" t="s">
        <v>107</v>
      </c>
      <c r="B21" s="7" t="s">
        <v>108</v>
      </c>
      <c r="C21" s="7" t="s">
        <v>111</v>
      </c>
      <c r="D21" s="7" t="s">
        <v>32</v>
      </c>
      <c r="E21" s="7" t="s">
        <v>33</v>
      </c>
      <c r="F21" s="7" t="s">
        <v>34</v>
      </c>
      <c r="G21" s="7" t="s">
        <v>10</v>
      </c>
    </row>
    <row r="22" spans="1:7" x14ac:dyDescent="0.2">
      <c r="A22" s="7" t="s">
        <v>110</v>
      </c>
      <c r="B22" s="7" t="s">
        <v>109</v>
      </c>
      <c r="C22" s="7" t="s">
        <v>112</v>
      </c>
      <c r="D22" s="7" t="s">
        <v>35</v>
      </c>
      <c r="E22" s="7" t="s">
        <v>36</v>
      </c>
      <c r="F22" s="7" t="s">
        <v>37</v>
      </c>
      <c r="G22" s="7" t="s">
        <v>10</v>
      </c>
    </row>
    <row r="23" spans="1:7" x14ac:dyDescent="0.2">
      <c r="A23" s="7" t="s">
        <v>115</v>
      </c>
      <c r="B23" s="7" t="s">
        <v>113</v>
      </c>
      <c r="C23" s="7" t="s">
        <v>114</v>
      </c>
      <c r="D23" s="7" t="s">
        <v>38</v>
      </c>
      <c r="E23" s="7" t="s">
        <v>116</v>
      </c>
      <c r="F23" s="7" t="s">
        <v>39</v>
      </c>
      <c r="G23" s="7" t="s">
        <v>10</v>
      </c>
    </row>
    <row r="24" spans="1:7" x14ac:dyDescent="0.2">
      <c r="A24" s="7" t="s">
        <v>153</v>
      </c>
      <c r="B24" s="7" t="s">
        <v>147</v>
      </c>
      <c r="C24" s="7" t="s">
        <v>148</v>
      </c>
      <c r="D24" s="7" t="s">
        <v>40</v>
      </c>
      <c r="E24" s="7" t="s">
        <v>149</v>
      </c>
      <c r="F24" s="7" t="s">
        <v>117</v>
      </c>
      <c r="G24" s="7" t="s">
        <v>10</v>
      </c>
    </row>
    <row r="25" spans="1:7" x14ac:dyDescent="0.2">
      <c r="A25" s="7" t="s">
        <v>154</v>
      </c>
      <c r="B25" s="7" t="s">
        <v>150</v>
      </c>
      <c r="C25" s="7" t="s">
        <v>151</v>
      </c>
      <c r="D25" s="7" t="s">
        <v>40</v>
      </c>
      <c r="E25" s="7" t="s">
        <v>152</v>
      </c>
      <c r="F25" s="7" t="s">
        <v>117</v>
      </c>
      <c r="G25" s="7" t="s">
        <v>216</v>
      </c>
    </row>
    <row r="26" spans="1:7" x14ac:dyDescent="0.2">
      <c r="A26" s="7" t="s">
        <v>169</v>
      </c>
      <c r="B26" s="7" t="s">
        <v>155</v>
      </c>
      <c r="C26" s="7" t="s">
        <v>163</v>
      </c>
      <c r="D26" s="7" t="s">
        <v>41</v>
      </c>
      <c r="E26" s="7" t="s">
        <v>164</v>
      </c>
      <c r="F26" s="7" t="s">
        <v>166</v>
      </c>
      <c r="G26" s="7" t="s">
        <v>10</v>
      </c>
    </row>
    <row r="27" spans="1:7" x14ac:dyDescent="0.2">
      <c r="A27" s="7" t="s">
        <v>156</v>
      </c>
      <c r="B27" s="7" t="s">
        <v>157</v>
      </c>
      <c r="C27" s="7" t="s">
        <v>158</v>
      </c>
      <c r="D27" s="7" t="s">
        <v>41</v>
      </c>
      <c r="E27" s="7" t="s">
        <v>165</v>
      </c>
      <c r="F27" s="7" t="s">
        <v>167</v>
      </c>
      <c r="G27" s="7" t="s">
        <v>10</v>
      </c>
    </row>
    <row r="28" spans="1:7" x14ac:dyDescent="0.2">
      <c r="A28" s="7" t="s">
        <v>159</v>
      </c>
      <c r="B28" s="7" t="s">
        <v>160</v>
      </c>
      <c r="C28" s="7" t="s">
        <v>161</v>
      </c>
      <c r="D28" s="7" t="s">
        <v>41</v>
      </c>
      <c r="E28" s="7" t="s">
        <v>162</v>
      </c>
      <c r="F28" s="7" t="s">
        <v>168</v>
      </c>
      <c r="G28" s="7" t="s">
        <v>10</v>
      </c>
    </row>
    <row r="29" spans="1:7" x14ac:dyDescent="0.2">
      <c r="A29" s="7" t="s">
        <v>285</v>
      </c>
      <c r="B29" s="7" t="s">
        <v>265</v>
      </c>
      <c r="C29" s="7" t="s">
        <v>266</v>
      </c>
      <c r="D29" s="7" t="s">
        <v>118</v>
      </c>
      <c r="E29" s="7" t="s">
        <v>282</v>
      </c>
      <c r="F29" s="7" t="s">
        <v>284</v>
      </c>
      <c r="G29" s="7" t="s">
        <v>10</v>
      </c>
    </row>
    <row r="30" spans="1:7" x14ac:dyDescent="0.2">
      <c r="A30" s="7" t="s">
        <v>267</v>
      </c>
      <c r="B30" s="7" t="s">
        <v>268</v>
      </c>
      <c r="C30" s="7" t="s">
        <v>269</v>
      </c>
      <c r="D30" s="7" t="s">
        <v>118</v>
      </c>
      <c r="E30" s="7" t="s">
        <v>282</v>
      </c>
      <c r="F30" s="7" t="s">
        <v>284</v>
      </c>
      <c r="G30" s="7" t="s">
        <v>10</v>
      </c>
    </row>
    <row r="31" spans="1:7" x14ac:dyDescent="0.2">
      <c r="A31" s="7" t="s">
        <v>170</v>
      </c>
      <c r="B31" s="7" t="s">
        <v>171</v>
      </c>
      <c r="C31" s="7" t="s">
        <v>270</v>
      </c>
      <c r="D31" s="7" t="s">
        <v>118</v>
      </c>
      <c r="E31" s="7" t="s">
        <v>172</v>
      </c>
      <c r="F31" s="7" t="s">
        <v>284</v>
      </c>
      <c r="G31" s="7" t="s">
        <v>10</v>
      </c>
    </row>
    <row r="32" spans="1:7" x14ac:dyDescent="0.2">
      <c r="A32" s="7" t="s">
        <v>271</v>
      </c>
      <c r="B32" s="7" t="s">
        <v>272</v>
      </c>
      <c r="C32" s="7" t="s">
        <v>273</v>
      </c>
      <c r="D32" s="7" t="s">
        <v>118</v>
      </c>
      <c r="E32" s="7" t="s">
        <v>283</v>
      </c>
      <c r="F32" s="7" t="s">
        <v>284</v>
      </c>
      <c r="G32" s="7" t="s">
        <v>10</v>
      </c>
    </row>
    <row r="33" spans="1:7" x14ac:dyDescent="0.2">
      <c r="A33" s="7" t="s">
        <v>274</v>
      </c>
      <c r="B33" s="7" t="s">
        <v>275</v>
      </c>
      <c r="C33" s="7" t="s">
        <v>273</v>
      </c>
      <c r="D33" s="7" t="s">
        <v>118</v>
      </c>
      <c r="E33" s="7" t="s">
        <v>172</v>
      </c>
      <c r="F33" s="7" t="s">
        <v>284</v>
      </c>
      <c r="G33" s="7" t="s">
        <v>10</v>
      </c>
    </row>
    <row r="34" spans="1:7" x14ac:dyDescent="0.2">
      <c r="A34" s="7" t="s">
        <v>276</v>
      </c>
      <c r="B34" s="7" t="s">
        <v>277</v>
      </c>
      <c r="C34" s="7" t="s">
        <v>278</v>
      </c>
      <c r="D34" s="7" t="s">
        <v>118</v>
      </c>
      <c r="E34" s="7" t="s">
        <v>282</v>
      </c>
      <c r="F34" s="7" t="s">
        <v>284</v>
      </c>
      <c r="G34" s="7" t="s">
        <v>10</v>
      </c>
    </row>
    <row r="35" spans="1:7" x14ac:dyDescent="0.2">
      <c r="A35" s="7" t="s">
        <v>279</v>
      </c>
      <c r="B35" s="7" t="s">
        <v>280</v>
      </c>
      <c r="C35" s="7" t="s">
        <v>281</v>
      </c>
      <c r="D35" s="7" t="s">
        <v>118</v>
      </c>
      <c r="E35" s="7" t="s">
        <v>283</v>
      </c>
      <c r="F35" s="7" t="s">
        <v>284</v>
      </c>
      <c r="G35" s="7" t="s">
        <v>10</v>
      </c>
    </row>
    <row r="36" spans="1:7" x14ac:dyDescent="0.2">
      <c r="A36" s="7" t="s">
        <v>173</v>
      </c>
      <c r="B36" s="7" t="s">
        <v>241</v>
      </c>
      <c r="C36" s="7" t="s">
        <v>174</v>
      </c>
      <c r="D36" s="7" t="s">
        <v>42</v>
      </c>
      <c r="E36" s="7" t="s">
        <v>175</v>
      </c>
      <c r="F36" s="7" t="s">
        <v>176</v>
      </c>
      <c r="G36" s="7" t="s">
        <v>10</v>
      </c>
    </row>
    <row r="37" spans="1:7" x14ac:dyDescent="0.2">
      <c r="A37" s="7" t="s">
        <v>177</v>
      </c>
      <c r="B37" s="7" t="s">
        <v>240</v>
      </c>
      <c r="C37" s="7" t="s">
        <v>180</v>
      </c>
      <c r="D37" s="7" t="s">
        <v>42</v>
      </c>
      <c r="E37" s="7" t="s">
        <v>178</v>
      </c>
      <c r="F37" s="7" t="s">
        <v>179</v>
      </c>
      <c r="G37" s="7" t="s">
        <v>10</v>
      </c>
    </row>
    <row r="38" spans="1:7" x14ac:dyDescent="0.2">
      <c r="A38" s="7" t="s">
        <v>119</v>
      </c>
      <c r="B38" s="7" t="s">
        <v>121</v>
      </c>
      <c r="C38" s="7" t="s">
        <v>122</v>
      </c>
      <c r="D38" s="7" t="s">
        <v>43</v>
      </c>
      <c r="E38" s="7" t="s">
        <v>123</v>
      </c>
      <c r="F38" s="7" t="s">
        <v>44</v>
      </c>
      <c r="G38" s="7" t="s">
        <v>10</v>
      </c>
    </row>
    <row r="39" spans="1:7" x14ac:dyDescent="0.2">
      <c r="A39" s="7" t="s">
        <v>120</v>
      </c>
      <c r="B39" s="7" t="s">
        <v>124</v>
      </c>
      <c r="C39" s="7" t="s">
        <v>125</v>
      </c>
      <c r="D39" s="7" t="s">
        <v>43</v>
      </c>
      <c r="E39" s="7" t="s">
        <v>123</v>
      </c>
      <c r="F39" s="7" t="s">
        <v>44</v>
      </c>
      <c r="G39" s="7" t="s">
        <v>10</v>
      </c>
    </row>
    <row r="40" spans="1:7" x14ac:dyDescent="0.2">
      <c r="A40" s="7" t="s">
        <v>217</v>
      </c>
      <c r="B40" s="7" t="s">
        <v>126</v>
      </c>
      <c r="C40" s="7" t="s">
        <v>242</v>
      </c>
      <c r="D40" s="7" t="s">
        <v>45</v>
      </c>
      <c r="E40" s="7" t="s">
        <v>46</v>
      </c>
      <c r="F40" s="7" t="s">
        <v>218</v>
      </c>
      <c r="G40" s="7" t="s">
        <v>10</v>
      </c>
    </row>
    <row r="41" spans="1:7" x14ac:dyDescent="0.2">
      <c r="A41" s="7" t="s">
        <v>225</v>
      </c>
      <c r="B41" s="7" t="s">
        <v>126</v>
      </c>
      <c r="C41" s="7" t="s">
        <v>242</v>
      </c>
      <c r="D41" s="7" t="s">
        <v>45</v>
      </c>
      <c r="E41" s="7" t="s">
        <v>46</v>
      </c>
      <c r="F41" s="7" t="s">
        <v>219</v>
      </c>
      <c r="G41" s="7" t="s">
        <v>10</v>
      </c>
    </row>
    <row r="42" spans="1:7" x14ac:dyDescent="0.2">
      <c r="A42" s="7" t="s">
        <v>220</v>
      </c>
      <c r="B42" s="7" t="s">
        <v>126</v>
      </c>
      <c r="C42" s="7" t="s">
        <v>242</v>
      </c>
      <c r="D42" s="7" t="s">
        <v>45</v>
      </c>
      <c r="E42" s="7" t="s">
        <v>221</v>
      </c>
      <c r="F42" s="7" t="s">
        <v>222</v>
      </c>
      <c r="G42" s="7" t="s">
        <v>10</v>
      </c>
    </row>
    <row r="43" spans="1:7" x14ac:dyDescent="0.2">
      <c r="A43" s="7" t="s">
        <v>127</v>
      </c>
      <c r="B43" s="7" t="s">
        <v>47</v>
      </c>
      <c r="C43" s="7" t="s">
        <v>132</v>
      </c>
      <c r="D43" s="7" t="s">
        <v>7</v>
      </c>
      <c r="E43" s="7" t="s">
        <v>129</v>
      </c>
      <c r="F43" s="7" t="s">
        <v>128</v>
      </c>
      <c r="G43" s="7" t="s">
        <v>134</v>
      </c>
    </row>
    <row r="44" spans="1:7" x14ac:dyDescent="0.2">
      <c r="A44" s="7" t="s">
        <v>130</v>
      </c>
      <c r="B44" s="7" t="s">
        <v>48</v>
      </c>
      <c r="C44" s="7" t="s">
        <v>131</v>
      </c>
      <c r="D44" s="7" t="s">
        <v>7</v>
      </c>
      <c r="E44" s="7" t="s">
        <v>49</v>
      </c>
      <c r="F44" s="7" t="s">
        <v>50</v>
      </c>
      <c r="G44" s="7" t="s">
        <v>10</v>
      </c>
    </row>
    <row r="45" spans="1:7" x14ac:dyDescent="0.2">
      <c r="A45" s="7" t="s">
        <v>249</v>
      </c>
      <c r="B45" s="7" t="s">
        <v>243</v>
      </c>
      <c r="C45" s="7" t="s">
        <v>226</v>
      </c>
      <c r="D45" s="7" t="s">
        <v>16</v>
      </c>
      <c r="E45" s="7" t="s">
        <v>233</v>
      </c>
      <c r="F45" s="7" t="s">
        <v>227</v>
      </c>
      <c r="G45" s="7" t="s">
        <v>10</v>
      </c>
    </row>
    <row r="46" spans="1:7" x14ac:dyDescent="0.2">
      <c r="A46" s="7" t="s">
        <v>250</v>
      </c>
      <c r="B46" s="7" t="s">
        <v>244</v>
      </c>
      <c r="C46" s="7" t="s">
        <v>228</v>
      </c>
      <c r="D46" s="7" t="s">
        <v>16</v>
      </c>
      <c r="E46" s="7" t="s">
        <v>233</v>
      </c>
      <c r="F46" s="7" t="s">
        <v>227</v>
      </c>
      <c r="G46" s="7" t="s">
        <v>10</v>
      </c>
    </row>
    <row r="47" spans="1:7" x14ac:dyDescent="0.2">
      <c r="A47" s="7" t="s">
        <v>251</v>
      </c>
      <c r="B47" s="7" t="s">
        <v>245</v>
      </c>
      <c r="C47" s="7" t="s">
        <v>239</v>
      </c>
      <c r="D47" s="7" t="s">
        <v>16</v>
      </c>
      <c r="E47" s="7" t="s">
        <v>234</v>
      </c>
      <c r="F47" s="7" t="s">
        <v>227</v>
      </c>
      <c r="G47" s="7" t="s">
        <v>10</v>
      </c>
    </row>
    <row r="48" spans="1:7" x14ac:dyDescent="0.2">
      <c r="A48" s="7" t="s">
        <v>252</v>
      </c>
      <c r="B48" s="7" t="s">
        <v>246</v>
      </c>
      <c r="C48" s="7" t="s">
        <v>247</v>
      </c>
      <c r="D48" s="7" t="s">
        <v>16</v>
      </c>
      <c r="E48" s="7" t="s">
        <v>257</v>
      </c>
      <c r="F48" s="7" t="s">
        <v>227</v>
      </c>
      <c r="G48" s="7" t="s">
        <v>10</v>
      </c>
    </row>
    <row r="49" spans="1:7" x14ac:dyDescent="0.2">
      <c r="A49" s="7" t="s">
        <v>253</v>
      </c>
      <c r="B49" s="7" t="s">
        <v>258</v>
      </c>
      <c r="C49" s="7" t="s">
        <v>229</v>
      </c>
      <c r="D49" s="7" t="s">
        <v>16</v>
      </c>
      <c r="E49" s="7" t="s">
        <v>259</v>
      </c>
      <c r="F49" s="7" t="s">
        <v>227</v>
      </c>
      <c r="G49" s="7" t="s">
        <v>10</v>
      </c>
    </row>
    <row r="50" spans="1:7" x14ac:dyDescent="0.2">
      <c r="A50" s="7" t="s">
        <v>254</v>
      </c>
      <c r="B50" s="7" t="s">
        <v>258</v>
      </c>
      <c r="C50" s="7" t="s">
        <v>229</v>
      </c>
      <c r="D50" s="7" t="s">
        <v>16</v>
      </c>
      <c r="E50" s="7" t="s">
        <v>235</v>
      </c>
      <c r="F50" s="7" t="s">
        <v>227</v>
      </c>
      <c r="G50" s="7" t="s">
        <v>10</v>
      </c>
    </row>
    <row r="51" spans="1:7" x14ac:dyDescent="0.2">
      <c r="A51" s="7" t="s">
        <v>248</v>
      </c>
      <c r="B51" s="7" t="s">
        <v>260</v>
      </c>
      <c r="C51" s="7" t="s">
        <v>230</v>
      </c>
      <c r="D51" s="7" t="s">
        <v>16</v>
      </c>
      <c r="E51" s="7" t="s">
        <v>236</v>
      </c>
      <c r="F51" s="7" t="s">
        <v>100</v>
      </c>
      <c r="G51" s="7" t="s">
        <v>10</v>
      </c>
    </row>
    <row r="52" spans="1:7" x14ac:dyDescent="0.2">
      <c r="A52" s="7" t="s">
        <v>255</v>
      </c>
      <c r="B52" s="7" t="s">
        <v>261</v>
      </c>
      <c r="C52" s="7" t="s">
        <v>231</v>
      </c>
      <c r="D52" s="7" t="s">
        <v>16</v>
      </c>
      <c r="E52" s="7" t="s">
        <v>237</v>
      </c>
      <c r="F52" s="7" t="s">
        <v>262</v>
      </c>
      <c r="G52" s="7" t="s">
        <v>10</v>
      </c>
    </row>
    <row r="53" spans="1:7" x14ac:dyDescent="0.2">
      <c r="A53" s="7" t="s">
        <v>256</v>
      </c>
      <c r="B53" s="7" t="s">
        <v>263</v>
      </c>
      <c r="C53" s="7" t="s">
        <v>264</v>
      </c>
      <c r="D53" s="7" t="s">
        <v>16</v>
      </c>
      <c r="E53" s="7" t="s">
        <v>238</v>
      </c>
      <c r="F53" s="7" t="s">
        <v>232</v>
      </c>
      <c r="G53" s="7" t="s">
        <v>10</v>
      </c>
    </row>
    <row r="54" spans="1:7" x14ac:dyDescent="0.2">
      <c r="A54" s="7" t="s">
        <v>137</v>
      </c>
      <c r="B54" s="7" t="s">
        <v>181</v>
      </c>
      <c r="C54" s="7" t="s">
        <v>182</v>
      </c>
      <c r="D54" s="7" t="s">
        <v>7</v>
      </c>
      <c r="E54" s="7" t="s">
        <v>203</v>
      </c>
      <c r="F54" s="7" t="s">
        <v>183</v>
      </c>
      <c r="G54" s="7" t="s">
        <v>10</v>
      </c>
    </row>
    <row r="55" spans="1:7" x14ac:dyDescent="0.2">
      <c r="A55" s="7" t="s">
        <v>138</v>
      </c>
      <c r="B55" s="7" t="s">
        <v>184</v>
      </c>
      <c r="C55" s="7" t="s">
        <v>185</v>
      </c>
      <c r="D55" s="7" t="s">
        <v>7</v>
      </c>
      <c r="E55" s="7" t="s">
        <v>204</v>
      </c>
      <c r="F55" s="7" t="s">
        <v>186</v>
      </c>
      <c r="G55" s="7" t="s">
        <v>10</v>
      </c>
    </row>
    <row r="56" spans="1:7" x14ac:dyDescent="0.2">
      <c r="A56" s="7" t="s">
        <v>146</v>
      </c>
      <c r="B56" s="7" t="s">
        <v>187</v>
      </c>
      <c r="C56" s="7" t="s">
        <v>200</v>
      </c>
      <c r="D56" s="7" t="s">
        <v>7</v>
      </c>
      <c r="E56" s="7" t="s">
        <v>203</v>
      </c>
      <c r="F56" s="7" t="s">
        <v>183</v>
      </c>
      <c r="G56" s="7" t="s">
        <v>10</v>
      </c>
    </row>
    <row r="57" spans="1:7" x14ac:dyDescent="0.2">
      <c r="A57" s="7" t="s">
        <v>139</v>
      </c>
      <c r="B57" s="7" t="s">
        <v>136</v>
      </c>
      <c r="C57" s="7" t="s">
        <v>188</v>
      </c>
      <c r="D57" s="7" t="s">
        <v>7</v>
      </c>
      <c r="E57" s="7" t="s">
        <v>205</v>
      </c>
      <c r="F57" s="7" t="s">
        <v>186</v>
      </c>
      <c r="G57" s="7" t="s">
        <v>10</v>
      </c>
    </row>
    <row r="58" spans="1:7" x14ac:dyDescent="0.2">
      <c r="A58" s="7" t="s">
        <v>140</v>
      </c>
      <c r="B58" s="7" t="s">
        <v>189</v>
      </c>
      <c r="C58" s="7" t="s">
        <v>211</v>
      </c>
      <c r="D58" s="7" t="s">
        <v>7</v>
      </c>
      <c r="E58" s="7" t="s">
        <v>206</v>
      </c>
      <c r="F58" s="7" t="s">
        <v>190</v>
      </c>
      <c r="G58" s="7" t="s">
        <v>10</v>
      </c>
    </row>
    <row r="59" spans="1:7" x14ac:dyDescent="0.2">
      <c r="A59" s="7" t="s">
        <v>141</v>
      </c>
      <c r="B59" s="7" t="s">
        <v>191</v>
      </c>
      <c r="C59" s="7" t="s">
        <v>192</v>
      </c>
      <c r="D59" s="7" t="s">
        <v>7</v>
      </c>
      <c r="E59" s="7" t="s">
        <v>207</v>
      </c>
      <c r="F59" s="7" t="s">
        <v>190</v>
      </c>
      <c r="G59" s="7" t="s">
        <v>10</v>
      </c>
    </row>
    <row r="60" spans="1:7" x14ac:dyDescent="0.2">
      <c r="A60" s="7" t="s">
        <v>142</v>
      </c>
      <c r="B60" s="7" t="s">
        <v>193</v>
      </c>
      <c r="C60" s="7" t="s">
        <v>194</v>
      </c>
      <c r="D60" s="7" t="s">
        <v>7</v>
      </c>
      <c r="E60" s="7" t="s">
        <v>208</v>
      </c>
      <c r="F60" s="7" t="s">
        <v>195</v>
      </c>
      <c r="G60" s="7" t="s">
        <v>10</v>
      </c>
    </row>
    <row r="61" spans="1:7" x14ac:dyDescent="0.2">
      <c r="A61" s="7" t="s">
        <v>143</v>
      </c>
      <c r="B61" s="7" t="s">
        <v>196</v>
      </c>
      <c r="C61" s="7" t="s">
        <v>212</v>
      </c>
      <c r="D61" s="7" t="s">
        <v>7</v>
      </c>
      <c r="E61" s="7" t="s">
        <v>209</v>
      </c>
      <c r="F61" s="7" t="s">
        <v>197</v>
      </c>
      <c r="G61" s="7" t="s">
        <v>201</v>
      </c>
    </row>
    <row r="62" spans="1:7" x14ac:dyDescent="0.2">
      <c r="A62" s="7" t="s">
        <v>144</v>
      </c>
      <c r="B62" s="7" t="s">
        <v>198</v>
      </c>
      <c r="C62" s="7" t="s">
        <v>214</v>
      </c>
      <c r="D62" s="7" t="s">
        <v>7</v>
      </c>
      <c r="E62" s="7" t="s">
        <v>210</v>
      </c>
      <c r="F62" s="7" t="s">
        <v>199</v>
      </c>
      <c r="G62" s="7" t="s">
        <v>10</v>
      </c>
    </row>
    <row r="63" spans="1:7" x14ac:dyDescent="0.2">
      <c r="A63" s="7" t="s">
        <v>145</v>
      </c>
      <c r="B63" s="7" t="s">
        <v>215</v>
      </c>
      <c r="C63" s="7" t="s">
        <v>213</v>
      </c>
      <c r="D63" s="7" t="s">
        <v>7</v>
      </c>
      <c r="E63" s="7" t="s">
        <v>210</v>
      </c>
      <c r="F63" s="7" t="s">
        <v>199</v>
      </c>
      <c r="G63" s="7" t="s">
        <v>202</v>
      </c>
    </row>
    <row r="64" spans="1:7" x14ac:dyDescent="0.2">
      <c r="A64" s="7" t="s">
        <v>316</v>
      </c>
      <c r="B64" s="7" t="s">
        <v>287</v>
      </c>
      <c r="C64" s="7" t="s">
        <v>317</v>
      </c>
      <c r="D64" s="7" t="s">
        <v>26</v>
      </c>
      <c r="E64" s="7" t="s">
        <v>321</v>
      </c>
      <c r="F64" s="7" t="s">
        <v>288</v>
      </c>
      <c r="G64" s="7" t="s">
        <v>10</v>
      </c>
    </row>
    <row r="65" spans="1:7" x14ac:dyDescent="0.2">
      <c r="A65" s="7" t="s">
        <v>289</v>
      </c>
      <c r="B65" s="7" t="s">
        <v>290</v>
      </c>
      <c r="C65" s="7" t="s">
        <v>291</v>
      </c>
      <c r="D65" s="7" t="s">
        <v>22</v>
      </c>
      <c r="E65" s="7" t="s">
        <v>23</v>
      </c>
      <c r="F65" s="7" t="s">
        <v>24</v>
      </c>
      <c r="G65" s="7" t="s">
        <v>10</v>
      </c>
    </row>
    <row r="66" spans="1:7" x14ac:dyDescent="0.2">
      <c r="A66" s="7" t="s">
        <v>292</v>
      </c>
      <c r="B66" s="7" t="s">
        <v>293</v>
      </c>
      <c r="C66" s="7" t="s">
        <v>294</v>
      </c>
      <c r="D66" s="7" t="s">
        <v>295</v>
      </c>
      <c r="E66" s="7" t="s">
        <v>296</v>
      </c>
      <c r="F66" s="7" t="s">
        <v>297</v>
      </c>
      <c r="G66" s="7" t="s">
        <v>79</v>
      </c>
    </row>
    <row r="67" spans="1:7" x14ac:dyDescent="0.2">
      <c r="A67" s="7" t="s">
        <v>298</v>
      </c>
      <c r="B67" s="7" t="s">
        <v>299</v>
      </c>
      <c r="C67" s="7" t="s">
        <v>318</v>
      </c>
      <c r="D67" s="7" t="s">
        <v>26</v>
      </c>
      <c r="E67" s="7" t="s">
        <v>322</v>
      </c>
      <c r="F67" s="7" t="s">
        <v>300</v>
      </c>
      <c r="G67" s="7" t="s">
        <v>10</v>
      </c>
    </row>
    <row r="68" spans="1:7" x14ac:dyDescent="0.2">
      <c r="A68" s="7" t="s">
        <v>301</v>
      </c>
      <c r="B68" s="7" t="s">
        <v>302</v>
      </c>
      <c r="C68" s="7" t="s">
        <v>215</v>
      </c>
      <c r="D68" s="7" t="s">
        <v>26</v>
      </c>
      <c r="E68" s="7" t="s">
        <v>323</v>
      </c>
      <c r="F68" s="7" t="s">
        <v>28</v>
      </c>
      <c r="G68" s="7" t="s">
        <v>10</v>
      </c>
    </row>
    <row r="69" spans="1:7" x14ac:dyDescent="0.2">
      <c r="A69" s="7" t="s">
        <v>303</v>
      </c>
      <c r="B69" s="7" t="s">
        <v>320</v>
      </c>
      <c r="C69" s="7" t="s">
        <v>304</v>
      </c>
      <c r="D69" s="7" t="s">
        <v>26</v>
      </c>
      <c r="E69" s="7" t="s">
        <v>324</v>
      </c>
      <c r="F69" s="7" t="s">
        <v>28</v>
      </c>
      <c r="G69" s="7" t="s">
        <v>10</v>
      </c>
    </row>
    <row r="70" spans="1:7" x14ac:dyDescent="0.2">
      <c r="A70" s="7" t="s">
        <v>305</v>
      </c>
      <c r="B70" s="7" t="s">
        <v>306</v>
      </c>
      <c r="C70" s="7" t="s">
        <v>307</v>
      </c>
      <c r="D70" s="7" t="s">
        <v>32</v>
      </c>
      <c r="E70" s="7" t="s">
        <v>325</v>
      </c>
      <c r="F70" s="7" t="s">
        <v>308</v>
      </c>
      <c r="G70" s="7" t="s">
        <v>10</v>
      </c>
    </row>
    <row r="71" spans="1:7" x14ac:dyDescent="0.2">
      <c r="A71" s="7" t="s">
        <v>309</v>
      </c>
      <c r="B71" s="7" t="s">
        <v>25</v>
      </c>
      <c r="C71" s="7" t="s">
        <v>310</v>
      </c>
      <c r="D71" s="7" t="s">
        <v>311</v>
      </c>
      <c r="E71" s="7" t="s">
        <v>326</v>
      </c>
      <c r="F71" s="7" t="s">
        <v>312</v>
      </c>
      <c r="G71" s="7" t="s">
        <v>10</v>
      </c>
    </row>
    <row r="72" spans="1:7" x14ac:dyDescent="0.2">
      <c r="A72" s="7" t="s">
        <v>313</v>
      </c>
      <c r="B72" s="7" t="s">
        <v>319</v>
      </c>
      <c r="C72" s="7" t="s">
        <v>314</v>
      </c>
      <c r="D72" s="7" t="s">
        <v>311</v>
      </c>
      <c r="E72" s="7" t="s">
        <v>315</v>
      </c>
      <c r="F72" s="7" t="s">
        <v>315</v>
      </c>
      <c r="G72" s="7" t="s">
        <v>327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48A54"/>
  </sheetPr>
  <dimension ref="A1:H74"/>
  <sheetViews>
    <sheetView zoomScale="56" zoomScaleNormal="17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8" sqref="E48"/>
    </sheetView>
  </sheetViews>
  <sheetFormatPr baseColWidth="10" defaultColWidth="8.6640625" defaultRowHeight="14" x14ac:dyDescent="0.2"/>
  <cols>
    <col min="1" max="1" width="40.83203125" style="7" customWidth="1"/>
    <col min="2" max="2" width="3" style="7" customWidth="1"/>
    <col min="3" max="3" width="8.6640625" style="10"/>
    <col min="4" max="4" width="11.33203125" style="10" customWidth="1"/>
    <col min="5" max="5" width="10.1640625" style="7" bestFit="1" customWidth="1"/>
    <col min="6" max="6" width="14.83203125" style="7" customWidth="1"/>
    <col min="7" max="7" width="14.83203125" style="7" bestFit="1" customWidth="1"/>
    <col min="8" max="8" width="17.33203125" style="7" bestFit="1" customWidth="1"/>
    <col min="9" max="16384" width="8.6640625" style="7"/>
  </cols>
  <sheetData>
    <row r="1" spans="1:8" x14ac:dyDescent="0.2">
      <c r="A1" s="9" t="s">
        <v>336</v>
      </c>
    </row>
    <row r="2" spans="1:8" x14ac:dyDescent="0.2">
      <c r="A2" s="30" t="s">
        <v>0</v>
      </c>
      <c r="C2" s="31" t="s">
        <v>329</v>
      </c>
      <c r="D2" s="31" t="s">
        <v>330</v>
      </c>
      <c r="E2" s="31" t="s">
        <v>333</v>
      </c>
      <c r="F2" s="31" t="s">
        <v>334</v>
      </c>
      <c r="G2" s="31" t="s">
        <v>335</v>
      </c>
      <c r="H2" s="31" t="s">
        <v>371</v>
      </c>
    </row>
    <row r="3" spans="1:8" ht="15" x14ac:dyDescent="0.2">
      <c r="A3" s="7" t="s">
        <v>64</v>
      </c>
      <c r="C3" s="32">
        <v>61</v>
      </c>
      <c r="D3" s="32">
        <v>7</v>
      </c>
      <c r="E3" s="33">
        <v>7.5</v>
      </c>
      <c r="F3" s="34">
        <f>C3/62</f>
        <v>0.9838709677419355</v>
      </c>
      <c r="G3" s="34">
        <f>C3/62</f>
        <v>0.9838709677419355</v>
      </c>
      <c r="H3" s="35">
        <v>1</v>
      </c>
    </row>
    <row r="4" spans="1:8" ht="15" x14ac:dyDescent="0.2">
      <c r="A4" s="7" t="s">
        <v>65</v>
      </c>
      <c r="C4" s="33">
        <v>60.8</v>
      </c>
      <c r="D4" s="32">
        <v>7</v>
      </c>
      <c r="E4" s="33">
        <v>7.5</v>
      </c>
      <c r="F4" s="34">
        <f t="shared" ref="F4:F67" si="0">C4/62</f>
        <v>0.98064516129032253</v>
      </c>
      <c r="G4" s="34">
        <f t="shared" ref="G4:G67" si="1">C4/62</f>
        <v>0.98064516129032253</v>
      </c>
      <c r="H4" s="35">
        <v>1</v>
      </c>
    </row>
    <row r="5" spans="1:8" ht="15" x14ac:dyDescent="0.2">
      <c r="A5" s="7" t="s">
        <v>66</v>
      </c>
      <c r="C5" s="32">
        <v>58.2</v>
      </c>
      <c r="D5" s="32">
        <v>8.5</v>
      </c>
      <c r="E5" s="33">
        <v>7.5</v>
      </c>
      <c r="F5" s="34">
        <f t="shared" si="0"/>
        <v>0.93870967741935485</v>
      </c>
      <c r="G5" s="34">
        <f t="shared" si="1"/>
        <v>0.93870967741935485</v>
      </c>
      <c r="H5" s="35">
        <v>1</v>
      </c>
    </row>
    <row r="6" spans="1:8" ht="15" x14ac:dyDescent="0.2">
      <c r="A6" s="7" t="s">
        <v>82</v>
      </c>
      <c r="C6" s="32">
        <v>67</v>
      </c>
      <c r="D6" s="32">
        <v>9</v>
      </c>
      <c r="E6" s="33">
        <v>5</v>
      </c>
      <c r="F6" s="34">
        <f t="shared" si="0"/>
        <v>1.0806451612903225</v>
      </c>
      <c r="G6" s="34">
        <f t="shared" si="1"/>
        <v>1.0806451612903225</v>
      </c>
      <c r="H6" s="35">
        <v>1</v>
      </c>
    </row>
    <row r="7" spans="1:8" ht="15" x14ac:dyDescent="0.2">
      <c r="A7" s="7" t="s">
        <v>69</v>
      </c>
      <c r="C7" s="32">
        <v>65</v>
      </c>
      <c r="D7" s="32">
        <v>8</v>
      </c>
      <c r="E7" s="33">
        <v>3</v>
      </c>
      <c r="F7" s="34">
        <f t="shared" si="0"/>
        <v>1.0483870967741935</v>
      </c>
      <c r="G7" s="34">
        <f t="shared" si="1"/>
        <v>1.0483870967741935</v>
      </c>
      <c r="H7" s="35">
        <v>1.06</v>
      </c>
    </row>
    <row r="8" spans="1:8" ht="15" x14ac:dyDescent="0.2">
      <c r="A8" s="7" t="s">
        <v>73</v>
      </c>
      <c r="C8" s="32">
        <v>61</v>
      </c>
      <c r="D8" s="32">
        <v>8</v>
      </c>
      <c r="E8" s="33">
        <v>3</v>
      </c>
      <c r="F8" s="34">
        <f t="shared" si="0"/>
        <v>0.9838709677419355</v>
      </c>
      <c r="G8" s="34">
        <f t="shared" si="1"/>
        <v>0.9838709677419355</v>
      </c>
      <c r="H8" s="35">
        <v>1</v>
      </c>
    </row>
    <row r="9" spans="1:8" ht="15" x14ac:dyDescent="0.2">
      <c r="A9" s="7" t="s">
        <v>74</v>
      </c>
      <c r="C9" s="32">
        <v>60</v>
      </c>
      <c r="D9" s="32">
        <v>8.5</v>
      </c>
      <c r="E9" s="33">
        <v>3</v>
      </c>
      <c r="F9" s="34">
        <f t="shared" si="0"/>
        <v>0.967741935483871</v>
      </c>
      <c r="G9" s="34">
        <f t="shared" si="1"/>
        <v>0.967741935483871</v>
      </c>
      <c r="H9" s="35">
        <v>1.01</v>
      </c>
    </row>
    <row r="10" spans="1:8" ht="15" x14ac:dyDescent="0.2">
      <c r="A10" s="7" t="s">
        <v>83</v>
      </c>
      <c r="C10" s="32">
        <v>60.7</v>
      </c>
      <c r="D10" s="32">
        <v>8</v>
      </c>
      <c r="E10" s="33">
        <v>7.5</v>
      </c>
      <c r="F10" s="34">
        <f t="shared" si="0"/>
        <v>0.97903225806451621</v>
      </c>
      <c r="G10" s="34">
        <f t="shared" si="1"/>
        <v>0.97903225806451621</v>
      </c>
      <c r="H10" s="35">
        <v>1</v>
      </c>
    </row>
    <row r="11" spans="1:8" ht="15" x14ac:dyDescent="0.2">
      <c r="A11" s="7" t="s">
        <v>84</v>
      </c>
      <c r="C11" s="32">
        <v>58.2</v>
      </c>
      <c r="D11" s="32">
        <v>8</v>
      </c>
      <c r="E11" s="33">
        <v>7.5</v>
      </c>
      <c r="F11" s="34">
        <f t="shared" si="0"/>
        <v>0.93870967741935485</v>
      </c>
      <c r="G11" s="34">
        <f t="shared" si="1"/>
        <v>0.93870967741935485</v>
      </c>
      <c r="H11" s="35">
        <v>1.03</v>
      </c>
    </row>
    <row r="12" spans="1:8" ht="15" x14ac:dyDescent="0.2">
      <c r="A12" s="7" t="s">
        <v>85</v>
      </c>
      <c r="C12" s="32">
        <v>57.5</v>
      </c>
      <c r="D12" s="32">
        <v>8.6</v>
      </c>
      <c r="E12" s="33">
        <v>7.5</v>
      </c>
      <c r="F12" s="34">
        <f t="shared" si="0"/>
        <v>0.92741935483870963</v>
      </c>
      <c r="G12" s="34">
        <f t="shared" si="1"/>
        <v>0.92741935483870963</v>
      </c>
      <c r="H12" s="35">
        <v>1</v>
      </c>
    </row>
    <row r="13" spans="1:8" ht="15" x14ac:dyDescent="0.2">
      <c r="A13" s="7" t="s">
        <v>81</v>
      </c>
      <c r="C13" s="32">
        <v>58</v>
      </c>
      <c r="D13" s="32">
        <v>9</v>
      </c>
      <c r="E13" s="33">
        <v>7.5</v>
      </c>
      <c r="F13" s="34">
        <f t="shared" si="0"/>
        <v>0.93548387096774188</v>
      </c>
      <c r="G13" s="34">
        <f t="shared" si="1"/>
        <v>0.93548387096774188</v>
      </c>
      <c r="H13" s="35">
        <v>1</v>
      </c>
    </row>
    <row r="14" spans="1:8" ht="15" x14ac:dyDescent="0.2">
      <c r="A14" s="7" t="s">
        <v>86</v>
      </c>
      <c r="C14" s="32">
        <v>65</v>
      </c>
      <c r="D14" s="32">
        <v>8</v>
      </c>
      <c r="E14" s="33">
        <v>5</v>
      </c>
      <c r="F14" s="34">
        <f t="shared" si="0"/>
        <v>1.0483870967741935</v>
      </c>
      <c r="G14" s="34">
        <f t="shared" si="1"/>
        <v>1.0483870967741935</v>
      </c>
      <c r="H14" s="35">
        <v>1</v>
      </c>
    </row>
    <row r="15" spans="1:8" ht="15" x14ac:dyDescent="0.2">
      <c r="A15" s="7" t="s">
        <v>88</v>
      </c>
      <c r="C15" s="32">
        <v>63.6</v>
      </c>
      <c r="D15" s="32">
        <v>1.5</v>
      </c>
      <c r="E15" s="33">
        <v>4</v>
      </c>
      <c r="F15" s="34">
        <f t="shared" si="0"/>
        <v>1.0258064516129033</v>
      </c>
      <c r="G15" s="34">
        <f t="shared" si="1"/>
        <v>1.0258064516129033</v>
      </c>
      <c r="H15" s="35">
        <v>0.73</v>
      </c>
    </row>
    <row r="16" spans="1:8" ht="15" x14ac:dyDescent="0.2">
      <c r="A16" s="7" t="s">
        <v>93</v>
      </c>
      <c r="C16" s="32">
        <v>66.2</v>
      </c>
      <c r="D16" s="32">
        <v>4</v>
      </c>
      <c r="E16" s="33">
        <v>0</v>
      </c>
      <c r="F16" s="34">
        <f t="shared" si="0"/>
        <v>1.0677419354838711</v>
      </c>
      <c r="G16" s="34">
        <f t="shared" si="1"/>
        <v>1.0677419354838711</v>
      </c>
      <c r="H16" s="35">
        <v>1.27</v>
      </c>
    </row>
    <row r="17" spans="1:8" ht="15" x14ac:dyDescent="0.2">
      <c r="A17" s="7" t="s">
        <v>97</v>
      </c>
      <c r="C17" s="32">
        <v>65</v>
      </c>
      <c r="D17" s="32">
        <v>2</v>
      </c>
      <c r="E17" s="33">
        <v>7</v>
      </c>
      <c r="F17" s="34">
        <f t="shared" si="0"/>
        <v>1.0483870967741935</v>
      </c>
      <c r="G17" s="34">
        <f t="shared" si="1"/>
        <v>1.0483870967741935</v>
      </c>
      <c r="H17" s="35">
        <v>1.27</v>
      </c>
    </row>
    <row r="18" spans="1:8" ht="15" x14ac:dyDescent="0.2">
      <c r="A18" s="7" t="s">
        <v>99</v>
      </c>
      <c r="C18" s="32">
        <v>63.5</v>
      </c>
      <c r="D18" s="32">
        <v>7</v>
      </c>
      <c r="E18" s="33">
        <v>3.5</v>
      </c>
      <c r="F18" s="34">
        <f t="shared" si="0"/>
        <v>1.0241935483870968</v>
      </c>
      <c r="G18" s="34">
        <f t="shared" si="1"/>
        <v>1.0241935483870968</v>
      </c>
      <c r="H18" s="35">
        <v>1.01</v>
      </c>
    </row>
    <row r="19" spans="1:8" ht="15" x14ac:dyDescent="0.2">
      <c r="A19" s="7" t="s">
        <v>103</v>
      </c>
      <c r="C19" s="32">
        <v>67</v>
      </c>
      <c r="D19" s="32">
        <v>9</v>
      </c>
      <c r="E19" s="33">
        <v>3.5</v>
      </c>
      <c r="F19" s="34">
        <f t="shared" si="0"/>
        <v>1.0806451612903225</v>
      </c>
      <c r="G19" s="34">
        <f t="shared" si="1"/>
        <v>1.0806451612903225</v>
      </c>
      <c r="H19" s="35">
        <v>0.99</v>
      </c>
    </row>
    <row r="20" spans="1:8" ht="15" x14ac:dyDescent="0.2">
      <c r="A20" s="7" t="s">
        <v>105</v>
      </c>
      <c r="C20" s="32">
        <v>65.8</v>
      </c>
      <c r="D20" s="32">
        <v>1.5</v>
      </c>
      <c r="E20" s="33">
        <v>3.5</v>
      </c>
      <c r="F20" s="34">
        <f t="shared" si="0"/>
        <v>1.0612903225806452</v>
      </c>
      <c r="G20" s="34">
        <f t="shared" si="1"/>
        <v>1.0612903225806452</v>
      </c>
      <c r="H20" s="35">
        <v>1</v>
      </c>
    </row>
    <row r="21" spans="1:8" ht="15" x14ac:dyDescent="0.2">
      <c r="A21" s="7" t="s">
        <v>107</v>
      </c>
      <c r="C21" s="33">
        <v>66.5</v>
      </c>
      <c r="D21" s="32">
        <v>1.5</v>
      </c>
      <c r="E21" s="33">
        <v>0.2</v>
      </c>
      <c r="F21" s="34">
        <f t="shared" si="0"/>
        <v>1.0725806451612903</v>
      </c>
      <c r="G21" s="34">
        <f t="shared" si="1"/>
        <v>1.0725806451612903</v>
      </c>
      <c r="H21" s="35">
        <v>1.05</v>
      </c>
    </row>
    <row r="22" spans="1:8" ht="15" x14ac:dyDescent="0.2">
      <c r="A22" s="7" t="s">
        <v>110</v>
      </c>
      <c r="C22" s="32">
        <v>61.5</v>
      </c>
      <c r="D22" s="32">
        <v>4</v>
      </c>
      <c r="E22" s="33">
        <v>9</v>
      </c>
      <c r="F22" s="34">
        <f t="shared" si="0"/>
        <v>0.99193548387096775</v>
      </c>
      <c r="G22" s="34">
        <f t="shared" si="1"/>
        <v>0.99193548387096775</v>
      </c>
      <c r="H22" s="35">
        <v>1.06</v>
      </c>
    </row>
    <row r="23" spans="1:8" ht="15" x14ac:dyDescent="0.2">
      <c r="A23" s="7" t="s">
        <v>115</v>
      </c>
      <c r="C23" s="32">
        <v>67</v>
      </c>
      <c r="D23" s="32">
        <v>8</v>
      </c>
      <c r="E23" s="33">
        <v>1.5</v>
      </c>
      <c r="F23" s="34">
        <f t="shared" si="0"/>
        <v>1.0806451612903225</v>
      </c>
      <c r="G23" s="34">
        <f t="shared" si="1"/>
        <v>1.0806451612903225</v>
      </c>
      <c r="H23" s="35">
        <v>0.83</v>
      </c>
    </row>
    <row r="24" spans="1:8" ht="15" x14ac:dyDescent="0.2">
      <c r="A24" s="7" t="s">
        <v>153</v>
      </c>
      <c r="C24" s="32">
        <v>65</v>
      </c>
      <c r="D24" s="32">
        <v>2</v>
      </c>
      <c r="E24" s="33">
        <v>5</v>
      </c>
      <c r="F24" s="34">
        <f t="shared" si="0"/>
        <v>1.0483870967741935</v>
      </c>
      <c r="G24" s="34">
        <f t="shared" si="1"/>
        <v>1.0483870967741935</v>
      </c>
      <c r="H24" s="35">
        <v>0.78</v>
      </c>
    </row>
    <row r="25" spans="1:8" ht="15" x14ac:dyDescent="0.2">
      <c r="A25" s="7" t="s">
        <v>154</v>
      </c>
      <c r="C25" s="32">
        <v>64.5</v>
      </c>
      <c r="D25" s="32">
        <v>6</v>
      </c>
      <c r="E25" s="33">
        <v>5</v>
      </c>
      <c r="F25" s="34">
        <f t="shared" si="0"/>
        <v>1.0403225806451613</v>
      </c>
      <c r="G25" s="34">
        <f t="shared" si="1"/>
        <v>1.0403225806451613</v>
      </c>
      <c r="H25" s="35">
        <v>0.78</v>
      </c>
    </row>
    <row r="26" spans="1:8" ht="15" x14ac:dyDescent="0.2">
      <c r="A26" s="7" t="s">
        <v>169</v>
      </c>
      <c r="C26" s="32">
        <v>57.5</v>
      </c>
      <c r="D26" s="32">
        <v>11</v>
      </c>
      <c r="E26" s="33">
        <v>15</v>
      </c>
      <c r="F26" s="34">
        <f t="shared" si="0"/>
        <v>0.92741935483870963</v>
      </c>
      <c r="G26" s="34">
        <f t="shared" si="1"/>
        <v>0.92741935483870963</v>
      </c>
      <c r="H26" s="35">
        <v>1.21</v>
      </c>
    </row>
    <row r="27" spans="1:8" ht="15" x14ac:dyDescent="0.2">
      <c r="A27" s="7" t="s">
        <v>156</v>
      </c>
      <c r="C27" s="32">
        <v>64</v>
      </c>
      <c r="D27" s="32">
        <v>8</v>
      </c>
      <c r="E27" s="33">
        <v>15</v>
      </c>
      <c r="F27" s="34">
        <f t="shared" si="0"/>
        <v>1.032258064516129</v>
      </c>
      <c r="G27" s="34">
        <f t="shared" si="1"/>
        <v>1.032258064516129</v>
      </c>
      <c r="H27" s="35">
        <v>1.1000000000000001</v>
      </c>
    </row>
    <row r="28" spans="1:8" ht="15" x14ac:dyDescent="0.2">
      <c r="A28" s="7" t="s">
        <v>159</v>
      </c>
      <c r="C28" s="32">
        <v>63.5</v>
      </c>
      <c r="D28" s="32">
        <v>9.5</v>
      </c>
      <c r="E28" s="33">
        <v>15</v>
      </c>
      <c r="F28" s="34">
        <f t="shared" si="0"/>
        <v>1.0241935483870968</v>
      </c>
      <c r="G28" s="34">
        <f t="shared" si="1"/>
        <v>1.0241935483870968</v>
      </c>
      <c r="H28" s="35">
        <v>1.0900000000000001</v>
      </c>
    </row>
    <row r="29" spans="1:8" ht="15" x14ac:dyDescent="0.2">
      <c r="A29" s="7" t="s">
        <v>285</v>
      </c>
      <c r="C29" s="32">
        <v>62</v>
      </c>
      <c r="D29" s="32">
        <v>4</v>
      </c>
      <c r="E29" s="33">
        <v>7.5</v>
      </c>
      <c r="F29" s="34">
        <f t="shared" si="0"/>
        <v>1</v>
      </c>
      <c r="G29" s="34">
        <f t="shared" si="1"/>
        <v>1</v>
      </c>
      <c r="H29" s="35">
        <v>1.62</v>
      </c>
    </row>
    <row r="30" spans="1:8" ht="15" x14ac:dyDescent="0.2">
      <c r="A30" s="7" t="s">
        <v>267</v>
      </c>
      <c r="C30" s="32">
        <v>64</v>
      </c>
      <c r="D30" s="32">
        <v>9.5</v>
      </c>
      <c r="E30" s="33">
        <v>7.5</v>
      </c>
      <c r="F30" s="34">
        <f t="shared" si="0"/>
        <v>1.032258064516129</v>
      </c>
      <c r="G30" s="34">
        <f t="shared" si="1"/>
        <v>1.032258064516129</v>
      </c>
      <c r="H30" s="35">
        <v>1.62</v>
      </c>
    </row>
    <row r="31" spans="1:8" ht="15" x14ac:dyDescent="0.2">
      <c r="A31" s="7" t="s">
        <v>170</v>
      </c>
      <c r="C31" s="32">
        <v>63</v>
      </c>
      <c r="D31" s="32">
        <v>11</v>
      </c>
      <c r="E31" s="33">
        <v>7.5</v>
      </c>
      <c r="F31" s="34">
        <f t="shared" si="0"/>
        <v>1.0161290322580645</v>
      </c>
      <c r="G31" s="34">
        <f t="shared" si="1"/>
        <v>1.0161290322580645</v>
      </c>
      <c r="H31" s="35">
        <v>1.62</v>
      </c>
    </row>
    <row r="32" spans="1:8" ht="15" x14ac:dyDescent="0.2">
      <c r="A32" s="7" t="s">
        <v>271</v>
      </c>
      <c r="C32" s="32">
        <v>60</v>
      </c>
      <c r="D32" s="32">
        <v>9.5</v>
      </c>
      <c r="E32" s="33">
        <v>7.5</v>
      </c>
      <c r="F32" s="34">
        <f t="shared" si="0"/>
        <v>0.967741935483871</v>
      </c>
      <c r="G32" s="34">
        <f t="shared" si="1"/>
        <v>0.967741935483871</v>
      </c>
      <c r="H32" s="35">
        <v>1.62</v>
      </c>
    </row>
    <row r="33" spans="1:8" ht="15" x14ac:dyDescent="0.2">
      <c r="A33" s="7" t="s">
        <v>274</v>
      </c>
      <c r="C33" s="32">
        <v>60</v>
      </c>
      <c r="D33" s="32">
        <v>9</v>
      </c>
      <c r="E33" s="33">
        <v>7.5</v>
      </c>
      <c r="F33" s="34">
        <f t="shared" si="0"/>
        <v>0.967741935483871</v>
      </c>
      <c r="G33" s="34">
        <f t="shared" si="1"/>
        <v>0.967741935483871</v>
      </c>
      <c r="H33" s="35">
        <v>1.62</v>
      </c>
    </row>
    <row r="34" spans="1:8" ht="15" x14ac:dyDescent="0.2">
      <c r="A34" s="7" t="s">
        <v>276</v>
      </c>
      <c r="C34" s="32">
        <v>65.5</v>
      </c>
      <c r="D34" s="32">
        <v>2</v>
      </c>
      <c r="E34" s="33">
        <v>7.5</v>
      </c>
      <c r="F34" s="34">
        <f t="shared" si="0"/>
        <v>1.0564516129032258</v>
      </c>
      <c r="G34" s="34">
        <f t="shared" si="1"/>
        <v>1.0564516129032258</v>
      </c>
      <c r="H34" s="35">
        <v>1.62</v>
      </c>
    </row>
    <row r="35" spans="1:8" ht="15" x14ac:dyDescent="0.2">
      <c r="A35" s="7" t="s">
        <v>279</v>
      </c>
      <c r="C35" s="32">
        <v>65.5</v>
      </c>
      <c r="D35" s="32">
        <v>2</v>
      </c>
      <c r="E35" s="33">
        <v>7.5</v>
      </c>
      <c r="F35" s="34">
        <f t="shared" si="0"/>
        <v>1.0564516129032258</v>
      </c>
      <c r="G35" s="34">
        <f t="shared" si="1"/>
        <v>1.0564516129032258</v>
      </c>
      <c r="H35" s="35">
        <v>1.62</v>
      </c>
    </row>
    <row r="36" spans="1:8" ht="15" x14ac:dyDescent="0.2">
      <c r="A36" s="7" t="s">
        <v>173</v>
      </c>
      <c r="C36" s="32">
        <v>65</v>
      </c>
      <c r="D36" s="32">
        <v>8.5</v>
      </c>
      <c r="E36" s="33">
        <v>3</v>
      </c>
      <c r="F36" s="34">
        <f t="shared" si="0"/>
        <v>1.0483870967741935</v>
      </c>
      <c r="G36" s="34">
        <f t="shared" si="1"/>
        <v>1.0483870967741935</v>
      </c>
      <c r="H36" s="35">
        <v>0.98</v>
      </c>
    </row>
    <row r="37" spans="1:8" ht="15" x14ac:dyDescent="0.2">
      <c r="A37" s="7" t="s">
        <v>177</v>
      </c>
      <c r="C37" s="32">
        <v>64</v>
      </c>
      <c r="D37" s="32">
        <v>11</v>
      </c>
      <c r="E37" s="33">
        <v>3</v>
      </c>
      <c r="F37" s="34">
        <f t="shared" si="0"/>
        <v>1.032258064516129</v>
      </c>
      <c r="G37" s="34">
        <f t="shared" si="1"/>
        <v>1.032258064516129</v>
      </c>
      <c r="H37" s="35">
        <v>0.98</v>
      </c>
    </row>
    <row r="38" spans="1:8" ht="15" x14ac:dyDescent="0.2">
      <c r="A38" s="7" t="s">
        <v>119</v>
      </c>
      <c r="C38" s="32">
        <v>65.5</v>
      </c>
      <c r="D38" s="32">
        <v>8</v>
      </c>
      <c r="E38" s="33">
        <v>3.5</v>
      </c>
      <c r="F38" s="34">
        <f t="shared" si="0"/>
        <v>1.0564516129032258</v>
      </c>
      <c r="G38" s="34">
        <f t="shared" si="1"/>
        <v>1.0564516129032258</v>
      </c>
      <c r="H38" s="35">
        <v>0.99</v>
      </c>
    </row>
    <row r="39" spans="1:8" ht="15" x14ac:dyDescent="0.2">
      <c r="A39" s="7" t="s">
        <v>120</v>
      </c>
      <c r="C39" s="32">
        <v>65.3</v>
      </c>
      <c r="D39" s="32">
        <v>8</v>
      </c>
      <c r="E39" s="33">
        <v>3.5</v>
      </c>
      <c r="F39" s="34">
        <f t="shared" si="0"/>
        <v>1.0532258064516129</v>
      </c>
      <c r="G39" s="34">
        <f t="shared" si="1"/>
        <v>1.0532258064516129</v>
      </c>
      <c r="H39" s="35">
        <v>0.99</v>
      </c>
    </row>
    <row r="40" spans="1:8" ht="15" x14ac:dyDescent="0.2">
      <c r="A40" s="7" t="s">
        <v>223</v>
      </c>
      <c r="C40" s="32">
        <v>65.5</v>
      </c>
      <c r="D40" s="32">
        <v>8</v>
      </c>
      <c r="E40" s="33">
        <v>0</v>
      </c>
      <c r="F40" s="34">
        <f t="shared" si="0"/>
        <v>1.0564516129032258</v>
      </c>
      <c r="G40" s="34">
        <f t="shared" si="1"/>
        <v>1.0564516129032258</v>
      </c>
      <c r="H40" s="35">
        <v>0.9</v>
      </c>
    </row>
    <row r="41" spans="1:8" ht="15" x14ac:dyDescent="0.2">
      <c r="A41" s="7" t="s">
        <v>225</v>
      </c>
      <c r="C41" s="32">
        <v>66.400000000000006</v>
      </c>
      <c r="D41" s="32">
        <v>8</v>
      </c>
      <c r="E41" s="33">
        <v>0</v>
      </c>
      <c r="F41" s="34">
        <f t="shared" si="0"/>
        <v>1.0709677419354839</v>
      </c>
      <c r="G41" s="34">
        <f t="shared" si="1"/>
        <v>1.0709677419354839</v>
      </c>
      <c r="H41" s="35">
        <v>0.89</v>
      </c>
    </row>
    <row r="42" spans="1:8" ht="15" x14ac:dyDescent="0.2">
      <c r="A42" s="7" t="s">
        <v>224</v>
      </c>
      <c r="C42" s="32">
        <v>65.5</v>
      </c>
      <c r="D42" s="32">
        <v>8</v>
      </c>
      <c r="E42" s="33">
        <v>0</v>
      </c>
      <c r="F42" s="34">
        <f t="shared" si="0"/>
        <v>1.0564516129032258</v>
      </c>
      <c r="G42" s="34">
        <f t="shared" si="1"/>
        <v>1.0564516129032258</v>
      </c>
      <c r="H42" s="35">
        <v>0.9</v>
      </c>
    </row>
    <row r="43" spans="1:8" ht="15" x14ac:dyDescent="0.2">
      <c r="A43" s="7" t="s">
        <v>127</v>
      </c>
      <c r="C43" s="32">
        <v>61.5</v>
      </c>
      <c r="D43" s="32">
        <v>4</v>
      </c>
      <c r="E43" s="33">
        <v>9.6</v>
      </c>
      <c r="F43" s="34">
        <f t="shared" si="0"/>
        <v>0.99193548387096775</v>
      </c>
      <c r="G43" s="34">
        <f t="shared" si="1"/>
        <v>0.99193548387096775</v>
      </c>
      <c r="H43" s="35">
        <v>1.04</v>
      </c>
    </row>
    <row r="44" spans="1:8" ht="15" x14ac:dyDescent="0.2">
      <c r="A44" s="7" t="s">
        <v>130</v>
      </c>
      <c r="C44" s="32">
        <v>65.5</v>
      </c>
      <c r="D44" s="32">
        <v>1.5</v>
      </c>
      <c r="E44" s="33">
        <v>2.1</v>
      </c>
      <c r="F44" s="34">
        <f t="shared" si="0"/>
        <v>1.0564516129032258</v>
      </c>
      <c r="G44" s="34">
        <f t="shared" si="1"/>
        <v>1.0564516129032258</v>
      </c>
      <c r="H44" s="35">
        <v>1.54</v>
      </c>
    </row>
    <row r="45" spans="1:8" ht="15" x14ac:dyDescent="0.2">
      <c r="A45" s="7" t="s">
        <v>249</v>
      </c>
      <c r="C45" s="32">
        <v>61</v>
      </c>
      <c r="D45" s="32">
        <v>4</v>
      </c>
      <c r="E45" s="33">
        <v>3</v>
      </c>
      <c r="F45" s="34">
        <f t="shared" si="0"/>
        <v>0.9838709677419355</v>
      </c>
      <c r="G45" s="34">
        <f t="shared" si="1"/>
        <v>0.9838709677419355</v>
      </c>
      <c r="H45" s="35">
        <v>1.01</v>
      </c>
    </row>
    <row r="46" spans="1:8" ht="15" x14ac:dyDescent="0.2">
      <c r="A46" s="7" t="s">
        <v>250</v>
      </c>
      <c r="C46" s="32">
        <v>65</v>
      </c>
      <c r="D46" s="32">
        <v>9</v>
      </c>
      <c r="E46" s="33">
        <v>3</v>
      </c>
      <c r="F46" s="34">
        <f t="shared" si="0"/>
        <v>1.0483870967741935</v>
      </c>
      <c r="G46" s="34">
        <f t="shared" si="1"/>
        <v>1.0483870967741935</v>
      </c>
      <c r="H46" s="35">
        <v>1.01</v>
      </c>
    </row>
    <row r="47" spans="1:8" ht="15" x14ac:dyDescent="0.2">
      <c r="A47" s="7" t="s">
        <v>251</v>
      </c>
      <c r="C47" s="32">
        <v>62.5</v>
      </c>
      <c r="D47" s="32">
        <v>8</v>
      </c>
      <c r="E47" s="33">
        <v>3</v>
      </c>
      <c r="F47" s="34">
        <f t="shared" si="0"/>
        <v>1.0080645161290323</v>
      </c>
      <c r="G47" s="34">
        <f t="shared" si="1"/>
        <v>1.0080645161290323</v>
      </c>
      <c r="H47" s="35">
        <v>1.01</v>
      </c>
    </row>
    <row r="48" spans="1:8" ht="15" x14ac:dyDescent="0.2">
      <c r="A48" s="7" t="s">
        <v>252</v>
      </c>
      <c r="C48" s="32">
        <v>65</v>
      </c>
      <c r="D48" s="32">
        <v>9</v>
      </c>
      <c r="E48" s="33">
        <v>3</v>
      </c>
      <c r="F48" s="34">
        <f t="shared" si="0"/>
        <v>1.0483870967741935</v>
      </c>
      <c r="G48" s="34">
        <f t="shared" si="1"/>
        <v>1.0483870967741935</v>
      </c>
      <c r="H48" s="35">
        <v>1.01</v>
      </c>
    </row>
    <row r="49" spans="1:8" ht="15" x14ac:dyDescent="0.2">
      <c r="A49" s="7" t="s">
        <v>253</v>
      </c>
      <c r="C49" s="32">
        <v>65.5</v>
      </c>
      <c r="D49" s="32">
        <v>9</v>
      </c>
      <c r="E49" s="33">
        <v>3</v>
      </c>
      <c r="F49" s="34">
        <f t="shared" si="0"/>
        <v>1.0564516129032258</v>
      </c>
      <c r="G49" s="34">
        <f t="shared" si="1"/>
        <v>1.0564516129032258</v>
      </c>
      <c r="H49" s="35">
        <v>1.01</v>
      </c>
    </row>
    <row r="50" spans="1:8" ht="15" x14ac:dyDescent="0.2">
      <c r="A50" s="7" t="s">
        <v>254</v>
      </c>
      <c r="C50" s="32">
        <v>64</v>
      </c>
      <c r="D50" s="32">
        <v>9</v>
      </c>
      <c r="E50" s="33">
        <v>3</v>
      </c>
      <c r="F50" s="34">
        <f t="shared" si="0"/>
        <v>1.032258064516129</v>
      </c>
      <c r="G50" s="34">
        <f t="shared" si="1"/>
        <v>1.032258064516129</v>
      </c>
      <c r="H50" s="35">
        <v>1.01</v>
      </c>
    </row>
    <row r="51" spans="1:8" ht="15" x14ac:dyDescent="0.2">
      <c r="A51" s="7" t="s">
        <v>248</v>
      </c>
      <c r="C51" s="32">
        <v>65</v>
      </c>
      <c r="D51" s="32">
        <v>8</v>
      </c>
      <c r="E51" s="33">
        <v>3</v>
      </c>
      <c r="F51" s="34">
        <f t="shared" si="0"/>
        <v>1.0483870967741935</v>
      </c>
      <c r="G51" s="34">
        <f t="shared" si="1"/>
        <v>1.0483870967741935</v>
      </c>
      <c r="H51" s="35">
        <v>1.01</v>
      </c>
    </row>
    <row r="52" spans="1:8" ht="15" x14ac:dyDescent="0.2">
      <c r="A52" s="7" t="s">
        <v>255</v>
      </c>
      <c r="C52" s="32">
        <v>64</v>
      </c>
      <c r="D52" s="32">
        <v>8</v>
      </c>
      <c r="E52" s="33">
        <v>3</v>
      </c>
      <c r="F52" s="34">
        <f t="shared" si="0"/>
        <v>1.032258064516129</v>
      </c>
      <c r="G52" s="34">
        <f t="shared" si="1"/>
        <v>1.032258064516129</v>
      </c>
      <c r="H52" s="35">
        <v>1.01</v>
      </c>
    </row>
    <row r="53" spans="1:8" ht="15" x14ac:dyDescent="0.2">
      <c r="A53" s="7" t="s">
        <v>256</v>
      </c>
      <c r="C53" s="32">
        <v>62.8</v>
      </c>
      <c r="D53" s="32">
        <v>9</v>
      </c>
      <c r="E53" s="33">
        <v>3</v>
      </c>
      <c r="F53" s="34">
        <f t="shared" si="0"/>
        <v>1.0129032258064516</v>
      </c>
      <c r="G53" s="34">
        <f t="shared" si="1"/>
        <v>1.0129032258064516</v>
      </c>
      <c r="H53" s="35">
        <v>1.01</v>
      </c>
    </row>
    <row r="54" spans="1:8" ht="15" x14ac:dyDescent="0.2">
      <c r="A54" s="7" t="s">
        <v>137</v>
      </c>
      <c r="C54" s="32">
        <v>65.5</v>
      </c>
      <c r="D54" s="32">
        <v>8</v>
      </c>
      <c r="E54" s="33">
        <v>5</v>
      </c>
      <c r="F54" s="34">
        <f t="shared" si="0"/>
        <v>1.0564516129032258</v>
      </c>
      <c r="G54" s="34">
        <f t="shared" si="1"/>
        <v>1.0564516129032258</v>
      </c>
      <c r="H54" s="35">
        <v>1.1499999999999999</v>
      </c>
    </row>
    <row r="55" spans="1:8" ht="15" x14ac:dyDescent="0.2">
      <c r="A55" s="7" t="s">
        <v>138</v>
      </c>
      <c r="C55" s="32">
        <v>59.5</v>
      </c>
      <c r="D55" s="32">
        <v>5.5</v>
      </c>
      <c r="E55" s="33">
        <v>7.5</v>
      </c>
      <c r="F55" s="34">
        <f t="shared" si="0"/>
        <v>0.95967741935483875</v>
      </c>
      <c r="G55" s="34">
        <f t="shared" si="1"/>
        <v>0.95967741935483875</v>
      </c>
      <c r="H55" s="35">
        <v>1.34</v>
      </c>
    </row>
    <row r="56" spans="1:8" ht="15" x14ac:dyDescent="0.2">
      <c r="A56" s="7" t="s">
        <v>146</v>
      </c>
      <c r="C56" s="32">
        <v>61</v>
      </c>
      <c r="D56" s="32">
        <v>5</v>
      </c>
      <c r="E56" s="33">
        <v>7.5</v>
      </c>
      <c r="F56" s="34">
        <f t="shared" si="0"/>
        <v>0.9838709677419355</v>
      </c>
      <c r="G56" s="34">
        <f t="shared" si="1"/>
        <v>0.9838709677419355</v>
      </c>
      <c r="H56" s="35">
        <v>1.1399999999999999</v>
      </c>
    </row>
    <row r="57" spans="1:8" ht="15" x14ac:dyDescent="0.2">
      <c r="A57" s="7" t="s">
        <v>139</v>
      </c>
      <c r="C57" s="32">
        <v>60.7</v>
      </c>
      <c r="D57" s="32">
        <v>2</v>
      </c>
      <c r="E57" s="33">
        <v>7.5</v>
      </c>
      <c r="F57" s="34">
        <f t="shared" si="0"/>
        <v>0.97903225806451621</v>
      </c>
      <c r="G57" s="34">
        <f t="shared" si="1"/>
        <v>0.97903225806451621</v>
      </c>
      <c r="H57" s="35">
        <v>1.33</v>
      </c>
    </row>
    <row r="58" spans="1:8" ht="15" x14ac:dyDescent="0.2">
      <c r="A58" s="7" t="s">
        <v>140</v>
      </c>
      <c r="C58" s="32">
        <v>60</v>
      </c>
      <c r="D58" s="32">
        <v>2</v>
      </c>
      <c r="E58" s="33">
        <v>5</v>
      </c>
      <c r="F58" s="34">
        <f t="shared" si="0"/>
        <v>0.967741935483871</v>
      </c>
      <c r="G58" s="34">
        <f t="shared" si="1"/>
        <v>0.967741935483871</v>
      </c>
      <c r="H58" s="35">
        <v>1.59</v>
      </c>
    </row>
    <row r="59" spans="1:8" ht="15" x14ac:dyDescent="0.2">
      <c r="A59" s="7" t="s">
        <v>141</v>
      </c>
      <c r="C59" s="32">
        <v>62.5</v>
      </c>
      <c r="D59" s="32">
        <v>5</v>
      </c>
      <c r="E59" s="33">
        <v>5</v>
      </c>
      <c r="F59" s="34">
        <f t="shared" si="0"/>
        <v>1.0080645161290323</v>
      </c>
      <c r="G59" s="34">
        <f t="shared" si="1"/>
        <v>1.0080645161290323</v>
      </c>
      <c r="H59" s="35">
        <v>1.59</v>
      </c>
    </row>
    <row r="60" spans="1:8" ht="15" x14ac:dyDescent="0.2">
      <c r="A60" s="7" t="s">
        <v>142</v>
      </c>
      <c r="C60" s="32">
        <v>53</v>
      </c>
      <c r="D60" s="32">
        <v>8</v>
      </c>
      <c r="E60" s="33">
        <v>5</v>
      </c>
      <c r="F60" s="34">
        <f t="shared" si="0"/>
        <v>0.85483870967741937</v>
      </c>
      <c r="G60" s="34">
        <f t="shared" si="1"/>
        <v>0.85483870967741937</v>
      </c>
      <c r="H60" s="35">
        <v>1.56</v>
      </c>
    </row>
    <row r="61" spans="1:8" ht="15" x14ac:dyDescent="0.2">
      <c r="A61" s="7" t="s">
        <v>143</v>
      </c>
      <c r="C61" s="32">
        <v>58</v>
      </c>
      <c r="D61" s="32">
        <v>5</v>
      </c>
      <c r="E61" s="33">
        <v>2.5</v>
      </c>
      <c r="F61" s="34">
        <f t="shared" si="0"/>
        <v>0.93548387096774188</v>
      </c>
      <c r="G61" s="34">
        <f t="shared" si="1"/>
        <v>0.93548387096774188</v>
      </c>
      <c r="H61" s="35">
        <v>0.98</v>
      </c>
    </row>
    <row r="62" spans="1:8" ht="15" x14ac:dyDescent="0.2">
      <c r="A62" s="7" t="s">
        <v>144</v>
      </c>
      <c r="C62" s="32">
        <v>64</v>
      </c>
      <c r="D62" s="32">
        <v>9</v>
      </c>
      <c r="E62" s="33">
        <v>2.5</v>
      </c>
      <c r="F62" s="34">
        <f t="shared" si="0"/>
        <v>1.032258064516129</v>
      </c>
      <c r="G62" s="34">
        <f t="shared" si="1"/>
        <v>1.032258064516129</v>
      </c>
      <c r="H62" s="35">
        <v>0.94</v>
      </c>
    </row>
    <row r="63" spans="1:8" ht="15" x14ac:dyDescent="0.2">
      <c r="A63" s="7" t="s">
        <v>145</v>
      </c>
      <c r="C63" s="32">
        <v>66</v>
      </c>
      <c r="D63" s="32">
        <v>8</v>
      </c>
      <c r="E63" s="33">
        <v>5</v>
      </c>
      <c r="F63" s="34">
        <f t="shared" si="0"/>
        <v>1.064516129032258</v>
      </c>
      <c r="G63" s="34">
        <f t="shared" si="1"/>
        <v>1.064516129032258</v>
      </c>
      <c r="H63" s="35">
        <v>0.94</v>
      </c>
    </row>
    <row r="64" spans="1:8" ht="15" x14ac:dyDescent="0.2">
      <c r="A64" s="7" t="s">
        <v>286</v>
      </c>
      <c r="C64" s="32">
        <v>66</v>
      </c>
      <c r="D64" s="32">
        <v>2.5</v>
      </c>
      <c r="E64" s="33">
        <v>4</v>
      </c>
      <c r="F64" s="34">
        <f t="shared" si="0"/>
        <v>1.064516129032258</v>
      </c>
      <c r="G64" s="34">
        <f t="shared" si="1"/>
        <v>1.064516129032258</v>
      </c>
      <c r="H64" s="35">
        <v>1.25</v>
      </c>
    </row>
    <row r="65" spans="1:8" ht="15" x14ac:dyDescent="0.2">
      <c r="A65" s="7" t="s">
        <v>289</v>
      </c>
      <c r="C65" s="32">
        <v>64</v>
      </c>
      <c r="D65" s="32">
        <v>3.5</v>
      </c>
      <c r="E65" s="33">
        <v>6</v>
      </c>
      <c r="F65" s="34">
        <f t="shared" si="0"/>
        <v>1.032258064516129</v>
      </c>
      <c r="G65" s="34">
        <f t="shared" si="1"/>
        <v>1.032258064516129</v>
      </c>
      <c r="H65" s="35">
        <v>0.71</v>
      </c>
    </row>
    <row r="66" spans="1:8" ht="15" x14ac:dyDescent="0.2">
      <c r="A66" s="7" t="s">
        <v>292</v>
      </c>
      <c r="C66" s="32">
        <v>62.5</v>
      </c>
      <c r="D66" s="32">
        <v>8.5</v>
      </c>
      <c r="E66" s="33">
        <v>2</v>
      </c>
      <c r="F66" s="34">
        <f t="shared" si="0"/>
        <v>1.0080645161290323</v>
      </c>
      <c r="G66" s="34">
        <f t="shared" si="1"/>
        <v>1.0080645161290323</v>
      </c>
      <c r="H66" s="35">
        <v>1.97</v>
      </c>
    </row>
    <row r="67" spans="1:8" ht="15" x14ac:dyDescent="0.2">
      <c r="A67" s="7" t="s">
        <v>298</v>
      </c>
      <c r="C67" s="32">
        <v>66.3</v>
      </c>
      <c r="D67" s="32">
        <v>3</v>
      </c>
      <c r="E67" s="33">
        <v>4.5</v>
      </c>
      <c r="F67" s="34">
        <f t="shared" si="0"/>
        <v>1.0693548387096774</v>
      </c>
      <c r="G67" s="34">
        <f t="shared" si="1"/>
        <v>1.0693548387096774</v>
      </c>
      <c r="H67" s="35">
        <v>0.81</v>
      </c>
    </row>
    <row r="68" spans="1:8" ht="15" x14ac:dyDescent="0.2">
      <c r="A68" s="7" t="s">
        <v>301</v>
      </c>
      <c r="C68" s="32">
        <v>65.5</v>
      </c>
      <c r="D68" s="32">
        <v>0</v>
      </c>
      <c r="E68" s="33">
        <v>3</v>
      </c>
      <c r="F68" s="34">
        <f t="shared" ref="F68:F73" si="2">C68/62</f>
        <v>1.0564516129032258</v>
      </c>
      <c r="G68" s="34">
        <f t="shared" ref="G68:G73" si="3">C68/62</f>
        <v>1.0564516129032258</v>
      </c>
      <c r="H68" s="35">
        <v>1.24</v>
      </c>
    </row>
    <row r="69" spans="1:8" ht="15" x14ac:dyDescent="0.2">
      <c r="A69" s="7" t="s">
        <v>303</v>
      </c>
      <c r="C69" s="32">
        <v>63</v>
      </c>
      <c r="D69" s="32">
        <v>6.5</v>
      </c>
      <c r="E69" s="33">
        <v>2</v>
      </c>
      <c r="F69" s="34">
        <f t="shared" si="2"/>
        <v>1.0161290322580645</v>
      </c>
      <c r="G69" s="34">
        <f t="shared" si="3"/>
        <v>1.0161290322580645</v>
      </c>
      <c r="H69" s="35">
        <v>1.24</v>
      </c>
    </row>
    <row r="70" spans="1:8" ht="15" x14ac:dyDescent="0.2">
      <c r="A70" s="7" t="s">
        <v>305</v>
      </c>
      <c r="C70" s="32">
        <v>68.5</v>
      </c>
      <c r="D70" s="32">
        <v>7</v>
      </c>
      <c r="E70" s="33">
        <v>2.5</v>
      </c>
      <c r="F70" s="34">
        <f t="shared" si="2"/>
        <v>1.1048387096774193</v>
      </c>
      <c r="G70" s="34">
        <f t="shared" si="3"/>
        <v>1.1048387096774193</v>
      </c>
      <c r="H70" s="35">
        <v>1.05</v>
      </c>
    </row>
    <row r="71" spans="1:8" ht="15" x14ac:dyDescent="0.2">
      <c r="A71" s="7" t="s">
        <v>309</v>
      </c>
      <c r="C71" s="32">
        <v>65</v>
      </c>
      <c r="D71" s="32">
        <v>6.5</v>
      </c>
      <c r="E71" s="33">
        <v>0.2</v>
      </c>
      <c r="F71" s="34">
        <f t="shared" si="2"/>
        <v>1.0483870967741935</v>
      </c>
      <c r="G71" s="34">
        <f t="shared" si="3"/>
        <v>1.0483870967741935</v>
      </c>
      <c r="H71" s="35">
        <v>1.04</v>
      </c>
    </row>
    <row r="72" spans="1:8" ht="15" x14ac:dyDescent="0.2">
      <c r="A72" s="7" t="s">
        <v>313</v>
      </c>
      <c r="C72" s="32">
        <v>70</v>
      </c>
      <c r="D72" s="32">
        <v>8</v>
      </c>
      <c r="E72" s="33">
        <v>0.5</v>
      </c>
      <c r="F72" s="34">
        <f t="shared" si="2"/>
        <v>1.1290322580645162</v>
      </c>
      <c r="G72" s="34">
        <f t="shared" si="3"/>
        <v>1.1290322580645162</v>
      </c>
      <c r="H72" s="35">
        <v>1.1100000000000001</v>
      </c>
    </row>
    <row r="73" spans="1:8" ht="15" x14ac:dyDescent="0.2">
      <c r="A73" s="7" t="s">
        <v>328</v>
      </c>
      <c r="C73" s="32">
        <v>60.5</v>
      </c>
      <c r="D73" s="32">
        <v>8</v>
      </c>
      <c r="E73" s="33">
        <v>0.8</v>
      </c>
      <c r="F73" s="34">
        <f t="shared" si="2"/>
        <v>0.97580645161290325</v>
      </c>
      <c r="G73" s="34">
        <f t="shared" si="3"/>
        <v>0.97580645161290325</v>
      </c>
      <c r="H73" s="35">
        <v>1</v>
      </c>
    </row>
    <row r="74" spans="1:8" x14ac:dyDescent="0.2">
      <c r="A74" s="9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C81"/>
  <sheetViews>
    <sheetView zoomScale="63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7" sqref="A77"/>
    </sheetView>
  </sheetViews>
  <sheetFormatPr baseColWidth="10" defaultColWidth="8.6640625" defaultRowHeight="14" x14ac:dyDescent="0.2"/>
  <cols>
    <col min="1" max="1" width="46" style="7" customWidth="1"/>
    <col min="2" max="2" width="2" style="7" bestFit="1" customWidth="1"/>
    <col min="3" max="28" width="8" style="7" customWidth="1"/>
    <col min="29" max="16384" width="8.6640625" style="7"/>
  </cols>
  <sheetData>
    <row r="1" spans="1:28" x14ac:dyDescent="0.2">
      <c r="A1" s="9" t="s">
        <v>338</v>
      </c>
    </row>
    <row r="2" spans="1:28" x14ac:dyDescent="0.2">
      <c r="A2" s="30" t="s">
        <v>0</v>
      </c>
      <c r="C2" s="30">
        <v>2010</v>
      </c>
      <c r="D2" s="30">
        <v>2011</v>
      </c>
      <c r="E2" s="30">
        <v>2012</v>
      </c>
      <c r="F2" s="30">
        <v>2013</v>
      </c>
      <c r="G2" s="30">
        <v>2014</v>
      </c>
      <c r="H2" s="30">
        <v>2015</v>
      </c>
      <c r="I2" s="30">
        <v>2016</v>
      </c>
      <c r="J2" s="30">
        <v>2017</v>
      </c>
      <c r="K2" s="30">
        <v>2018</v>
      </c>
      <c r="L2" s="30">
        <v>2019</v>
      </c>
      <c r="M2" s="30">
        <v>2020</v>
      </c>
      <c r="N2" s="30">
        <v>2021</v>
      </c>
      <c r="O2" s="30">
        <v>2022</v>
      </c>
      <c r="P2" s="30">
        <v>2023</v>
      </c>
      <c r="Q2" s="30">
        <v>2024</v>
      </c>
      <c r="R2" s="30">
        <v>2025</v>
      </c>
      <c r="S2" s="30">
        <v>2026</v>
      </c>
      <c r="T2" s="30">
        <v>2027</v>
      </c>
      <c r="U2" s="30">
        <v>2028</v>
      </c>
      <c r="V2" s="30">
        <v>2029</v>
      </c>
      <c r="W2" s="30">
        <v>2030</v>
      </c>
      <c r="X2" s="30">
        <v>2031</v>
      </c>
      <c r="Y2" s="30">
        <v>2032</v>
      </c>
      <c r="Z2" s="30">
        <v>2033</v>
      </c>
      <c r="AA2" s="30">
        <v>2034</v>
      </c>
      <c r="AB2" s="30">
        <v>2035</v>
      </c>
    </row>
    <row r="3" spans="1:28" x14ac:dyDescent="0.2">
      <c r="A3" s="7" t="s">
        <v>64</v>
      </c>
      <c r="C3" s="32">
        <v>125</v>
      </c>
      <c r="D3" s="32">
        <v>134.4</v>
      </c>
      <c r="E3" s="32">
        <v>159.5</v>
      </c>
      <c r="F3" s="32">
        <v>189.4</v>
      </c>
      <c r="G3" s="32">
        <v>223.4</v>
      </c>
      <c r="H3" s="32">
        <v>254</v>
      </c>
      <c r="I3" s="32">
        <v>257</v>
      </c>
      <c r="J3" s="32">
        <v>268</v>
      </c>
      <c r="K3" s="32">
        <v>275</v>
      </c>
      <c r="L3" s="32">
        <v>270</v>
      </c>
      <c r="M3" s="32">
        <v>285</v>
      </c>
      <c r="N3" s="32">
        <v>284</v>
      </c>
      <c r="O3" s="32">
        <v>284</v>
      </c>
      <c r="P3" s="32">
        <v>285</v>
      </c>
      <c r="Q3" s="32">
        <v>287</v>
      </c>
      <c r="R3" s="32">
        <v>290</v>
      </c>
      <c r="S3" s="32">
        <v>290</v>
      </c>
      <c r="T3" s="32">
        <v>292</v>
      </c>
      <c r="U3" s="32">
        <v>294</v>
      </c>
      <c r="V3" s="32">
        <v>296</v>
      </c>
      <c r="W3" s="32">
        <v>297</v>
      </c>
      <c r="X3" s="32">
        <v>298</v>
      </c>
      <c r="Y3" s="32">
        <v>298</v>
      </c>
      <c r="Z3" s="32">
        <v>298</v>
      </c>
      <c r="AA3" s="32">
        <v>297</v>
      </c>
      <c r="AB3" s="32">
        <v>296</v>
      </c>
    </row>
    <row r="4" spans="1:28" x14ac:dyDescent="0.2">
      <c r="A4" s="7" t="s">
        <v>65</v>
      </c>
      <c r="C4" s="32">
        <v>222.7</v>
      </c>
      <c r="D4" s="32">
        <v>225.4</v>
      </c>
      <c r="E4" s="32">
        <v>239.4</v>
      </c>
      <c r="F4" s="32">
        <v>250.5</v>
      </c>
      <c r="G4" s="32">
        <v>280.60000000000002</v>
      </c>
      <c r="H4" s="32">
        <v>309.89999999999998</v>
      </c>
      <c r="I4" s="32">
        <v>327.60000000000002</v>
      </c>
      <c r="J4" s="32">
        <v>330.1</v>
      </c>
      <c r="K4" s="32">
        <v>338.2</v>
      </c>
      <c r="L4" s="32">
        <v>327.39999999999998</v>
      </c>
      <c r="M4" s="32">
        <v>330.6</v>
      </c>
      <c r="N4" s="32">
        <v>321.60000000000002</v>
      </c>
      <c r="O4" s="32">
        <v>321.60000000000002</v>
      </c>
      <c r="P4" s="32">
        <v>331.8</v>
      </c>
      <c r="Q4" s="32">
        <v>328.6</v>
      </c>
      <c r="R4" s="32">
        <v>326.2</v>
      </c>
      <c r="S4" s="32">
        <v>329</v>
      </c>
      <c r="T4" s="32">
        <v>331</v>
      </c>
      <c r="U4" s="32">
        <v>332</v>
      </c>
      <c r="V4" s="32">
        <v>333</v>
      </c>
      <c r="W4" s="32">
        <v>333</v>
      </c>
      <c r="X4" s="32">
        <v>333</v>
      </c>
      <c r="Y4" s="32">
        <v>332</v>
      </c>
      <c r="Z4" s="32">
        <v>331</v>
      </c>
      <c r="AA4" s="32">
        <v>330</v>
      </c>
      <c r="AB4" s="32">
        <v>329</v>
      </c>
    </row>
    <row r="5" spans="1:28" x14ac:dyDescent="0.2">
      <c r="A5" s="7" t="s">
        <v>66</v>
      </c>
      <c r="C5" s="32">
        <v>40</v>
      </c>
      <c r="D5" s="32">
        <v>40.9</v>
      </c>
      <c r="E5" s="32">
        <v>57.5</v>
      </c>
      <c r="F5" s="32">
        <v>80.900000000000006</v>
      </c>
      <c r="G5" s="32">
        <v>124.2</v>
      </c>
      <c r="H5" s="32">
        <v>165.4</v>
      </c>
      <c r="I5" s="32">
        <v>169.4</v>
      </c>
      <c r="J5" s="32">
        <v>170.4</v>
      </c>
      <c r="K5" s="32">
        <v>170</v>
      </c>
      <c r="L5" s="32">
        <v>167.7</v>
      </c>
      <c r="M5" s="32">
        <v>178.2</v>
      </c>
      <c r="N5" s="32">
        <v>182.2</v>
      </c>
      <c r="O5" s="32">
        <v>188.7</v>
      </c>
      <c r="P5" s="32">
        <v>191.8</v>
      </c>
      <c r="Q5" s="32">
        <v>186.7</v>
      </c>
      <c r="R5" s="32">
        <v>191.3</v>
      </c>
      <c r="S5" s="32">
        <v>192</v>
      </c>
      <c r="T5" s="32">
        <v>191</v>
      </c>
      <c r="U5" s="32">
        <v>190</v>
      </c>
      <c r="V5" s="32">
        <v>190</v>
      </c>
      <c r="W5" s="32">
        <v>190</v>
      </c>
      <c r="X5" s="32">
        <v>189</v>
      </c>
      <c r="Y5" s="32">
        <v>188</v>
      </c>
      <c r="Z5" s="32">
        <v>187</v>
      </c>
      <c r="AA5" s="32">
        <v>186</v>
      </c>
      <c r="AB5" s="32">
        <v>185</v>
      </c>
    </row>
    <row r="6" spans="1:28" x14ac:dyDescent="0.2">
      <c r="A6" s="7" t="s">
        <v>82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0.2</v>
      </c>
      <c r="Q6" s="32">
        <v>4.9000000000000004</v>
      </c>
      <c r="R6" s="32">
        <v>7.1</v>
      </c>
      <c r="S6" s="32">
        <v>11</v>
      </c>
      <c r="T6" s="32">
        <v>12</v>
      </c>
      <c r="U6" s="32">
        <v>13</v>
      </c>
      <c r="V6" s="32">
        <v>14</v>
      </c>
      <c r="W6" s="32">
        <v>15</v>
      </c>
      <c r="X6" s="32">
        <v>16</v>
      </c>
      <c r="Y6" s="32">
        <v>16</v>
      </c>
      <c r="Z6" s="32">
        <v>16</v>
      </c>
      <c r="AA6" s="32">
        <v>16</v>
      </c>
      <c r="AB6" s="32">
        <v>16</v>
      </c>
    </row>
    <row r="7" spans="1:28" x14ac:dyDescent="0.2">
      <c r="A7" s="7" t="s">
        <v>69</v>
      </c>
      <c r="B7" s="33"/>
      <c r="C7" s="32">
        <v>94.2</v>
      </c>
      <c r="D7" s="32">
        <v>100.5</v>
      </c>
      <c r="E7" s="32">
        <v>105.4</v>
      </c>
      <c r="F7" s="32">
        <v>107</v>
      </c>
      <c r="G7" s="32">
        <v>112.3</v>
      </c>
      <c r="H7" s="32">
        <v>124.7</v>
      </c>
      <c r="I7" s="32">
        <v>149</v>
      </c>
      <c r="J7" s="32">
        <v>169.5</v>
      </c>
      <c r="K7" s="32">
        <v>198</v>
      </c>
      <c r="L7" s="32">
        <v>190</v>
      </c>
      <c r="M7" s="32">
        <v>191.2</v>
      </c>
      <c r="N7" s="32">
        <v>182.9</v>
      </c>
      <c r="O7" s="32">
        <v>167.9</v>
      </c>
      <c r="P7" s="32">
        <v>166.1</v>
      </c>
      <c r="Q7" s="32">
        <v>175.8</v>
      </c>
      <c r="R7" s="32">
        <v>172.4</v>
      </c>
      <c r="S7" s="32">
        <v>170</v>
      </c>
      <c r="T7" s="32">
        <v>178</v>
      </c>
      <c r="U7" s="32">
        <v>184</v>
      </c>
      <c r="V7" s="32">
        <v>188</v>
      </c>
      <c r="W7" s="32">
        <v>190</v>
      </c>
      <c r="X7" s="32">
        <v>190</v>
      </c>
      <c r="Y7" s="32">
        <v>190</v>
      </c>
      <c r="Z7" s="32">
        <v>190</v>
      </c>
      <c r="AA7" s="32">
        <v>190</v>
      </c>
      <c r="AB7" s="32">
        <v>190</v>
      </c>
    </row>
    <row r="8" spans="1:28" x14ac:dyDescent="0.2">
      <c r="A8" s="7" t="s">
        <v>73</v>
      </c>
      <c r="C8" s="32">
        <v>100.4</v>
      </c>
      <c r="D8" s="32">
        <v>102.9</v>
      </c>
      <c r="E8" s="32">
        <v>102.6</v>
      </c>
      <c r="F8" s="32">
        <v>101.6</v>
      </c>
      <c r="G8" s="32">
        <v>101.5</v>
      </c>
      <c r="H8" s="32">
        <v>105.4</v>
      </c>
      <c r="I8" s="32">
        <v>100.7</v>
      </c>
      <c r="J8" s="32">
        <v>102.2</v>
      </c>
      <c r="K8" s="32">
        <v>96.8</v>
      </c>
      <c r="L8" s="32">
        <v>69.2</v>
      </c>
      <c r="M8" s="32">
        <v>48.8</v>
      </c>
      <c r="N8" s="32">
        <v>57.6</v>
      </c>
      <c r="O8" s="32">
        <v>61.5</v>
      </c>
      <c r="P8" s="32">
        <v>69.2</v>
      </c>
      <c r="Q8" s="32">
        <v>71.900000000000006</v>
      </c>
      <c r="R8" s="32">
        <v>80.900000000000006</v>
      </c>
      <c r="S8" s="32">
        <v>90</v>
      </c>
      <c r="T8" s="32">
        <v>92</v>
      </c>
      <c r="U8" s="32">
        <v>92</v>
      </c>
      <c r="V8" s="32">
        <v>91</v>
      </c>
      <c r="W8" s="32">
        <v>90</v>
      </c>
      <c r="X8" s="32">
        <v>90</v>
      </c>
      <c r="Y8" s="32">
        <v>89</v>
      </c>
      <c r="Z8" s="32">
        <v>89</v>
      </c>
      <c r="AA8" s="32">
        <v>88</v>
      </c>
      <c r="AB8" s="32">
        <v>88</v>
      </c>
    </row>
    <row r="9" spans="1:28" x14ac:dyDescent="0.2">
      <c r="A9" s="7" t="s">
        <v>74</v>
      </c>
      <c r="C9" s="32">
        <v>60.5</v>
      </c>
      <c r="D9" s="32">
        <v>59.1</v>
      </c>
      <c r="E9" s="32">
        <v>62.6</v>
      </c>
      <c r="F9" s="32">
        <v>61.8</v>
      </c>
      <c r="G9" s="32">
        <v>64.400000000000006</v>
      </c>
      <c r="H9" s="32">
        <v>69.3</v>
      </c>
      <c r="I9" s="32">
        <v>67.5</v>
      </c>
      <c r="J9" s="32">
        <v>62.6</v>
      </c>
      <c r="K9" s="32">
        <v>60.4</v>
      </c>
      <c r="L9" s="32">
        <v>26.7</v>
      </c>
      <c r="M9" s="32">
        <v>38.799999999999997</v>
      </c>
      <c r="N9" s="32">
        <v>42.8</v>
      </c>
      <c r="O9" s="32">
        <v>44.1</v>
      </c>
      <c r="P9" s="32">
        <v>44.7</v>
      </c>
      <c r="Q9" s="32">
        <v>47.7</v>
      </c>
      <c r="R9" s="32">
        <v>48</v>
      </c>
      <c r="S9" s="32">
        <v>46.5</v>
      </c>
      <c r="T9" s="32">
        <v>53</v>
      </c>
      <c r="U9" s="32">
        <v>57</v>
      </c>
      <c r="V9" s="32">
        <v>59</v>
      </c>
      <c r="W9" s="32">
        <v>60</v>
      </c>
      <c r="X9" s="32">
        <v>60</v>
      </c>
      <c r="Y9" s="32">
        <v>60</v>
      </c>
      <c r="Z9" s="32">
        <v>60</v>
      </c>
      <c r="AA9" s="32">
        <v>60</v>
      </c>
      <c r="AB9" s="32">
        <v>60</v>
      </c>
    </row>
    <row r="10" spans="1:28" x14ac:dyDescent="0.2">
      <c r="A10" s="7" t="s">
        <v>83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14</v>
      </c>
      <c r="J10" s="32">
        <v>31</v>
      </c>
      <c r="K10" s="32">
        <v>50</v>
      </c>
      <c r="L10" s="32">
        <v>55</v>
      </c>
      <c r="M10" s="32">
        <v>58</v>
      </c>
      <c r="N10" s="32">
        <v>60</v>
      </c>
      <c r="O10" s="32">
        <v>60</v>
      </c>
      <c r="P10" s="32">
        <v>61</v>
      </c>
      <c r="Q10" s="32">
        <v>63</v>
      </c>
      <c r="R10" s="32">
        <v>63</v>
      </c>
      <c r="S10" s="32">
        <v>63</v>
      </c>
      <c r="T10" s="32">
        <v>62.1</v>
      </c>
      <c r="U10" s="32">
        <v>61.2</v>
      </c>
      <c r="V10" s="32">
        <v>59.5</v>
      </c>
      <c r="W10" s="32">
        <v>56</v>
      </c>
      <c r="X10" s="32">
        <v>52.5</v>
      </c>
      <c r="Y10" s="32">
        <v>49</v>
      </c>
      <c r="Z10" s="32">
        <v>45.5</v>
      </c>
      <c r="AA10" s="32">
        <v>42</v>
      </c>
      <c r="AB10" s="32">
        <v>39.4</v>
      </c>
    </row>
    <row r="11" spans="1:28" x14ac:dyDescent="0.2">
      <c r="A11" s="7" t="s">
        <v>84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0.2</v>
      </c>
      <c r="R11" s="32">
        <v>8</v>
      </c>
      <c r="S11" s="32">
        <v>19.7</v>
      </c>
      <c r="T11" s="32">
        <v>35</v>
      </c>
      <c r="U11" s="32">
        <v>35</v>
      </c>
      <c r="V11" s="32">
        <v>35</v>
      </c>
      <c r="W11" s="32">
        <v>35</v>
      </c>
      <c r="X11" s="32">
        <v>35</v>
      </c>
      <c r="Y11" s="32">
        <v>35</v>
      </c>
      <c r="Z11" s="32">
        <v>35</v>
      </c>
      <c r="AA11" s="32">
        <v>35</v>
      </c>
      <c r="AB11" s="32">
        <v>35</v>
      </c>
    </row>
    <row r="12" spans="1:28" x14ac:dyDescent="0.2">
      <c r="A12" s="7" t="s">
        <v>85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6</v>
      </c>
      <c r="I12" s="32">
        <v>7</v>
      </c>
      <c r="J12" s="32">
        <v>8</v>
      </c>
      <c r="K12" s="32">
        <v>8</v>
      </c>
      <c r="L12" s="32">
        <v>8</v>
      </c>
      <c r="M12" s="32">
        <v>8</v>
      </c>
      <c r="N12" s="32">
        <v>9</v>
      </c>
      <c r="O12" s="32">
        <v>9</v>
      </c>
      <c r="P12" s="32">
        <v>9</v>
      </c>
      <c r="Q12" s="32">
        <v>9</v>
      </c>
      <c r="R12" s="32">
        <v>10</v>
      </c>
      <c r="S12" s="32">
        <v>10</v>
      </c>
      <c r="T12" s="32">
        <v>10</v>
      </c>
      <c r="U12" s="32">
        <v>10</v>
      </c>
      <c r="V12" s="32">
        <v>10</v>
      </c>
      <c r="W12" s="32">
        <v>10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</row>
    <row r="13" spans="1:28" x14ac:dyDescent="0.2">
      <c r="A13" s="7" t="s">
        <v>81</v>
      </c>
      <c r="C13" s="32">
        <v>6</v>
      </c>
      <c r="D13" s="32">
        <v>6.5</v>
      </c>
      <c r="E13" s="32">
        <v>7.5</v>
      </c>
      <c r="F13" s="32">
        <v>9.5</v>
      </c>
      <c r="G13" s="32">
        <v>12.2</v>
      </c>
      <c r="H13" s="32">
        <v>14</v>
      </c>
      <c r="I13" s="32">
        <v>14.5</v>
      </c>
      <c r="J13" s="32">
        <v>9</v>
      </c>
      <c r="K13" s="32">
        <v>9</v>
      </c>
      <c r="L13" s="32">
        <v>8</v>
      </c>
      <c r="M13" s="32">
        <v>8</v>
      </c>
      <c r="N13" s="32">
        <v>9</v>
      </c>
      <c r="O13" s="32">
        <v>9</v>
      </c>
      <c r="P13" s="32">
        <v>9</v>
      </c>
      <c r="Q13" s="32">
        <v>9</v>
      </c>
      <c r="R13" s="32">
        <v>9</v>
      </c>
      <c r="S13" s="32">
        <v>9</v>
      </c>
      <c r="T13" s="32">
        <v>8.9</v>
      </c>
      <c r="U13" s="32">
        <v>8.8000000000000007</v>
      </c>
      <c r="V13" s="32">
        <v>8.5</v>
      </c>
      <c r="W13" s="32">
        <v>8</v>
      </c>
      <c r="X13" s="32">
        <v>7.5</v>
      </c>
      <c r="Y13" s="32">
        <v>7</v>
      </c>
      <c r="Z13" s="32">
        <v>6.5</v>
      </c>
      <c r="AA13" s="32">
        <v>6</v>
      </c>
      <c r="AB13" s="32">
        <v>5.6</v>
      </c>
    </row>
    <row r="14" spans="1:28" x14ac:dyDescent="0.2">
      <c r="A14" s="7" t="s">
        <v>86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11</v>
      </c>
      <c r="I14" s="32">
        <v>16</v>
      </c>
      <c r="J14" s="32">
        <v>17</v>
      </c>
      <c r="K14" s="32">
        <v>19</v>
      </c>
      <c r="L14" s="32">
        <v>20</v>
      </c>
      <c r="M14" s="32">
        <v>21</v>
      </c>
      <c r="N14" s="32">
        <v>21</v>
      </c>
      <c r="O14" s="32">
        <v>20</v>
      </c>
      <c r="P14" s="32">
        <v>20</v>
      </c>
      <c r="Q14" s="32">
        <v>15</v>
      </c>
      <c r="R14" s="32">
        <v>14.7</v>
      </c>
      <c r="S14" s="32">
        <v>15.5</v>
      </c>
      <c r="T14" s="32">
        <v>17.5</v>
      </c>
      <c r="U14" s="32">
        <v>19.5</v>
      </c>
      <c r="V14" s="32">
        <v>21</v>
      </c>
      <c r="W14" s="32">
        <v>22</v>
      </c>
      <c r="X14" s="32">
        <v>22.5</v>
      </c>
      <c r="Y14" s="32">
        <v>23</v>
      </c>
      <c r="Z14" s="32">
        <v>23</v>
      </c>
      <c r="AA14" s="32">
        <v>23</v>
      </c>
      <c r="AB14" s="32">
        <v>23</v>
      </c>
    </row>
    <row r="15" spans="1:28" x14ac:dyDescent="0.2">
      <c r="A15" s="7" t="s">
        <v>88</v>
      </c>
      <c r="C15" s="32">
        <v>43.4</v>
      </c>
      <c r="D15" s="32">
        <v>41.3</v>
      </c>
      <c r="E15" s="32">
        <v>43.1</v>
      </c>
      <c r="F15" s="32">
        <v>42.4</v>
      </c>
      <c r="G15" s="32">
        <v>48.2</v>
      </c>
      <c r="H15" s="32">
        <v>44.9</v>
      </c>
      <c r="I15" s="32">
        <v>41.5</v>
      </c>
      <c r="J15" s="32">
        <v>45</v>
      </c>
      <c r="K15" s="32">
        <v>43.1</v>
      </c>
      <c r="L15" s="32">
        <v>42.4</v>
      </c>
      <c r="M15" s="32">
        <v>37.1</v>
      </c>
      <c r="N15" s="32">
        <v>40.9</v>
      </c>
      <c r="O15" s="32">
        <v>37.700000000000003</v>
      </c>
      <c r="P15" s="32">
        <v>35.700000000000003</v>
      </c>
      <c r="Q15" s="32">
        <v>35.700000000000003</v>
      </c>
      <c r="R15" s="32">
        <v>36.299999999999997</v>
      </c>
      <c r="S15" s="32">
        <v>36</v>
      </c>
      <c r="T15" s="32">
        <v>36</v>
      </c>
      <c r="U15" s="32">
        <v>36</v>
      </c>
      <c r="V15" s="32">
        <v>36</v>
      </c>
      <c r="W15" s="32">
        <v>37</v>
      </c>
      <c r="X15" s="32">
        <v>37</v>
      </c>
      <c r="Y15" s="32">
        <v>37</v>
      </c>
      <c r="Z15" s="32">
        <v>37</v>
      </c>
      <c r="AA15" s="32">
        <v>37</v>
      </c>
      <c r="AB15" s="32">
        <v>37</v>
      </c>
    </row>
    <row r="16" spans="1:28" x14ac:dyDescent="0.2">
      <c r="A16" s="7" t="s">
        <v>93</v>
      </c>
      <c r="C16" s="32">
        <v>3.2</v>
      </c>
      <c r="D16" s="32">
        <v>5.5</v>
      </c>
      <c r="E16" s="32">
        <v>5.5</v>
      </c>
      <c r="F16" s="32">
        <v>5.9</v>
      </c>
      <c r="G16" s="32">
        <v>5.9</v>
      </c>
      <c r="H16" s="32">
        <v>0</v>
      </c>
      <c r="I16" s="32">
        <v>0</v>
      </c>
      <c r="J16" s="32">
        <v>0</v>
      </c>
      <c r="K16" s="32">
        <v>1.3</v>
      </c>
      <c r="L16" s="32">
        <v>7.1</v>
      </c>
      <c r="M16" s="32">
        <v>7.6</v>
      </c>
      <c r="N16" s="32">
        <v>7.7</v>
      </c>
      <c r="O16" s="32">
        <v>7.7</v>
      </c>
      <c r="P16" s="32">
        <v>10.6</v>
      </c>
      <c r="Q16" s="32">
        <v>11.6</v>
      </c>
      <c r="R16" s="32">
        <v>13.5</v>
      </c>
      <c r="S16" s="32">
        <v>15</v>
      </c>
      <c r="T16" s="32">
        <v>15</v>
      </c>
      <c r="U16" s="32">
        <v>15</v>
      </c>
      <c r="V16" s="32">
        <v>15</v>
      </c>
      <c r="W16" s="32">
        <v>15</v>
      </c>
      <c r="X16" s="32">
        <v>15</v>
      </c>
      <c r="Y16" s="32">
        <v>15</v>
      </c>
      <c r="Z16" s="32">
        <v>15</v>
      </c>
      <c r="AA16" s="32">
        <v>15</v>
      </c>
      <c r="AB16" s="32">
        <v>15</v>
      </c>
    </row>
    <row r="17" spans="1:28" x14ac:dyDescent="0.2">
      <c r="A17" s="7" t="s">
        <v>97</v>
      </c>
      <c r="C17" s="32">
        <v>15</v>
      </c>
      <c r="D17" s="32">
        <v>13</v>
      </c>
      <c r="E17" s="32">
        <v>14</v>
      </c>
      <c r="F17" s="32">
        <v>15</v>
      </c>
      <c r="G17" s="32">
        <v>15</v>
      </c>
      <c r="H17" s="32">
        <v>18</v>
      </c>
      <c r="I17" s="32">
        <v>18</v>
      </c>
      <c r="J17" s="32">
        <v>19</v>
      </c>
      <c r="K17" s="32">
        <v>15.2</v>
      </c>
      <c r="L17" s="32">
        <v>17</v>
      </c>
      <c r="M17" s="32">
        <v>17</v>
      </c>
      <c r="N17" s="32">
        <v>16</v>
      </c>
      <c r="O17" s="32">
        <v>16</v>
      </c>
      <c r="P17" s="32">
        <v>16</v>
      </c>
      <c r="Q17" s="32">
        <v>16</v>
      </c>
      <c r="R17" s="32">
        <v>15.8</v>
      </c>
      <c r="S17" s="32">
        <v>16.5</v>
      </c>
      <c r="T17" s="32">
        <v>17</v>
      </c>
      <c r="U17" s="32">
        <v>17.5</v>
      </c>
      <c r="V17" s="32">
        <v>18</v>
      </c>
      <c r="W17" s="32">
        <v>18</v>
      </c>
      <c r="X17" s="32">
        <v>18</v>
      </c>
      <c r="Y17" s="32">
        <v>18</v>
      </c>
      <c r="Z17" s="32">
        <v>18</v>
      </c>
      <c r="AA17" s="32">
        <v>18</v>
      </c>
      <c r="AB17" s="32">
        <v>18</v>
      </c>
    </row>
    <row r="18" spans="1:28" x14ac:dyDescent="0.2">
      <c r="A18" s="7" t="s">
        <v>99</v>
      </c>
      <c r="C18" s="32">
        <v>22</v>
      </c>
      <c r="D18" s="32">
        <v>22.5</v>
      </c>
      <c r="E18" s="32">
        <v>19.7</v>
      </c>
      <c r="F18" s="32">
        <v>25.2</v>
      </c>
      <c r="G18" s="32">
        <v>28.9</v>
      </c>
      <c r="H18" s="32">
        <v>21.6</v>
      </c>
      <c r="I18" s="32">
        <v>32.9</v>
      </c>
      <c r="J18" s="32">
        <v>27.4</v>
      </c>
      <c r="K18" s="32">
        <v>29.6</v>
      </c>
      <c r="L18" s="32">
        <v>33</v>
      </c>
      <c r="M18" s="32">
        <v>26.9</v>
      </c>
      <c r="N18" s="32">
        <v>28</v>
      </c>
      <c r="O18" s="32">
        <v>29.2</v>
      </c>
      <c r="P18" s="32">
        <v>35.700000000000003</v>
      </c>
      <c r="Q18" s="32">
        <v>38.5</v>
      </c>
      <c r="R18" s="32">
        <v>41.8</v>
      </c>
      <c r="S18" s="32">
        <v>42</v>
      </c>
      <c r="T18" s="32">
        <v>45.1</v>
      </c>
      <c r="U18" s="32">
        <v>57.8</v>
      </c>
      <c r="V18" s="32">
        <v>57.8</v>
      </c>
      <c r="W18" s="32">
        <v>57.8</v>
      </c>
      <c r="X18" s="32">
        <v>57.8</v>
      </c>
      <c r="Y18" s="32">
        <v>57.8</v>
      </c>
      <c r="Z18" s="32">
        <v>57.8</v>
      </c>
      <c r="AA18" s="32">
        <v>57.8</v>
      </c>
      <c r="AB18" s="32">
        <v>57.8</v>
      </c>
    </row>
    <row r="19" spans="1:28" x14ac:dyDescent="0.2">
      <c r="A19" s="7" t="s">
        <v>103</v>
      </c>
      <c r="C19" s="32">
        <v>0</v>
      </c>
      <c r="D19" s="32">
        <v>0</v>
      </c>
      <c r="E19" s="32">
        <v>0</v>
      </c>
      <c r="F19" s="32">
        <v>0</v>
      </c>
      <c r="G19" s="32">
        <v>0.7</v>
      </c>
      <c r="H19" s="32">
        <v>9.1999999999999993</v>
      </c>
      <c r="I19" s="32">
        <v>16.100000000000001</v>
      </c>
      <c r="J19" s="32">
        <v>16.8</v>
      </c>
      <c r="K19" s="32">
        <v>3.4</v>
      </c>
      <c r="L19" s="32">
        <v>22.9</v>
      </c>
      <c r="M19" s="32">
        <v>24.1</v>
      </c>
      <c r="N19" s="32">
        <v>23</v>
      </c>
      <c r="O19" s="32">
        <v>21.3</v>
      </c>
      <c r="P19" s="32">
        <v>24.3</v>
      </c>
      <c r="Q19" s="32">
        <v>25</v>
      </c>
      <c r="R19" s="32">
        <v>24.8</v>
      </c>
      <c r="S19" s="32">
        <v>25</v>
      </c>
      <c r="T19" s="32">
        <v>25</v>
      </c>
      <c r="U19" s="32">
        <v>24</v>
      </c>
      <c r="V19" s="32">
        <v>24</v>
      </c>
      <c r="W19" s="32">
        <v>24</v>
      </c>
      <c r="X19" s="32">
        <v>24</v>
      </c>
      <c r="Y19" s="32">
        <v>24</v>
      </c>
      <c r="Z19" s="32">
        <v>24</v>
      </c>
      <c r="AA19" s="32">
        <v>24</v>
      </c>
      <c r="AB19" s="32">
        <v>24</v>
      </c>
    </row>
    <row r="20" spans="1:28" x14ac:dyDescent="0.2">
      <c r="A20" s="7" t="s">
        <v>105</v>
      </c>
      <c r="C20" s="32">
        <v>21.6</v>
      </c>
      <c r="D20" s="32">
        <v>21.8</v>
      </c>
      <c r="E20" s="32">
        <v>22</v>
      </c>
      <c r="F20" s="32">
        <v>22</v>
      </c>
      <c r="G20" s="32">
        <v>24</v>
      </c>
      <c r="H20" s="32">
        <v>29</v>
      </c>
      <c r="I20" s="32">
        <v>0.2</v>
      </c>
      <c r="J20" s="32">
        <v>0</v>
      </c>
      <c r="K20" s="32">
        <v>0</v>
      </c>
      <c r="L20" s="32">
        <v>0</v>
      </c>
      <c r="M20" s="32">
        <v>0</v>
      </c>
      <c r="N20" s="32">
        <v>2</v>
      </c>
      <c r="O20" s="32">
        <v>4</v>
      </c>
      <c r="P20" s="32">
        <v>9</v>
      </c>
      <c r="Q20" s="32">
        <v>9.5</v>
      </c>
      <c r="R20" s="32">
        <v>12.8</v>
      </c>
      <c r="S20" s="32">
        <v>15</v>
      </c>
      <c r="T20" s="32">
        <v>18</v>
      </c>
      <c r="U20" s="32">
        <v>23</v>
      </c>
      <c r="V20" s="32">
        <v>26.5</v>
      </c>
      <c r="W20" s="32">
        <v>26.5</v>
      </c>
      <c r="X20" s="32">
        <v>26.5</v>
      </c>
      <c r="Y20" s="32">
        <v>26.5</v>
      </c>
      <c r="Z20" s="32">
        <v>26.5</v>
      </c>
      <c r="AA20" s="32">
        <v>26.5</v>
      </c>
      <c r="AB20" s="32">
        <v>26.5</v>
      </c>
    </row>
    <row r="21" spans="1:28" x14ac:dyDescent="0.2">
      <c r="A21" s="7" t="s">
        <v>107</v>
      </c>
      <c r="C21" s="32">
        <v>26</v>
      </c>
      <c r="D21" s="32">
        <v>26</v>
      </c>
      <c r="E21" s="32">
        <v>26.3</v>
      </c>
      <c r="F21" s="32">
        <v>25.5</v>
      </c>
      <c r="G21" s="32">
        <v>26</v>
      </c>
      <c r="H21" s="32">
        <v>24.2</v>
      </c>
      <c r="I21" s="32">
        <v>27</v>
      </c>
      <c r="J21" s="32">
        <v>27.6</v>
      </c>
      <c r="K21" s="32">
        <v>26.8</v>
      </c>
      <c r="L21" s="32">
        <v>24.9</v>
      </c>
      <c r="M21" s="32">
        <v>28.5</v>
      </c>
      <c r="N21" s="32">
        <v>27</v>
      </c>
      <c r="O21" s="32">
        <v>25.8</v>
      </c>
      <c r="P21" s="32">
        <v>25.3</v>
      </c>
      <c r="Q21" s="32">
        <v>21.9</v>
      </c>
      <c r="R21" s="32">
        <v>25.8</v>
      </c>
      <c r="S21" s="32">
        <v>23.8</v>
      </c>
      <c r="T21" s="32">
        <v>25.8</v>
      </c>
      <c r="U21" s="32">
        <v>26.5</v>
      </c>
      <c r="V21" s="32">
        <v>27</v>
      </c>
      <c r="W21" s="32">
        <v>28</v>
      </c>
      <c r="X21" s="32">
        <v>29</v>
      </c>
      <c r="Y21" s="32">
        <v>30</v>
      </c>
      <c r="Z21" s="32">
        <v>32</v>
      </c>
      <c r="AA21" s="32">
        <v>32</v>
      </c>
      <c r="AB21" s="32">
        <v>32</v>
      </c>
    </row>
    <row r="22" spans="1:28" x14ac:dyDescent="0.2">
      <c r="A22" s="7" t="s">
        <v>110</v>
      </c>
      <c r="C22" s="32">
        <v>11</v>
      </c>
      <c r="D22" s="32">
        <v>11</v>
      </c>
      <c r="E22" s="32">
        <v>11.5</v>
      </c>
      <c r="F22" s="32">
        <v>13</v>
      </c>
      <c r="G22" s="32">
        <v>13</v>
      </c>
      <c r="H22" s="32">
        <v>11.6</v>
      </c>
      <c r="I22" s="32">
        <v>13.3</v>
      </c>
      <c r="J22" s="32">
        <v>11.7</v>
      </c>
      <c r="K22" s="32">
        <v>11.3</v>
      </c>
      <c r="L22" s="32">
        <v>12</v>
      </c>
      <c r="M22" s="32">
        <v>12.5</v>
      </c>
      <c r="N22" s="32">
        <v>12.7</v>
      </c>
      <c r="O22" s="32">
        <v>13.3</v>
      </c>
      <c r="P22" s="32">
        <v>14.1</v>
      </c>
      <c r="Q22" s="32">
        <v>14.2</v>
      </c>
      <c r="R22" s="32">
        <v>14.3</v>
      </c>
      <c r="S22" s="32">
        <v>14.7</v>
      </c>
      <c r="T22" s="32">
        <v>16.5</v>
      </c>
      <c r="U22" s="32">
        <v>18.5</v>
      </c>
      <c r="V22" s="32">
        <v>20.5</v>
      </c>
      <c r="W22" s="32">
        <v>22.5</v>
      </c>
      <c r="X22" s="32">
        <v>24</v>
      </c>
      <c r="Y22" s="32">
        <v>24</v>
      </c>
      <c r="Z22" s="32">
        <v>24</v>
      </c>
      <c r="AA22" s="32">
        <v>24</v>
      </c>
      <c r="AB22" s="32">
        <v>24</v>
      </c>
    </row>
    <row r="23" spans="1:28" x14ac:dyDescent="0.2">
      <c r="A23" s="7" t="s">
        <v>115</v>
      </c>
      <c r="C23" s="32">
        <v>8.1999999999999993</v>
      </c>
      <c r="D23" s="32">
        <v>9.5</v>
      </c>
      <c r="E23" s="32">
        <v>9.9</v>
      </c>
      <c r="F23" s="32">
        <v>10.5</v>
      </c>
      <c r="G23" s="32">
        <v>10.7</v>
      </c>
      <c r="H23" s="32">
        <v>11.1</v>
      </c>
      <c r="I23" s="32">
        <v>11.7</v>
      </c>
      <c r="J23" s="32">
        <v>12.9</v>
      </c>
      <c r="K23" s="32">
        <v>14.7</v>
      </c>
      <c r="L23" s="32">
        <v>16.100000000000001</v>
      </c>
      <c r="M23" s="32">
        <v>13.8</v>
      </c>
      <c r="N23" s="32">
        <v>17.5</v>
      </c>
      <c r="O23" s="32">
        <v>18.600000000000001</v>
      </c>
      <c r="P23" s="32">
        <v>18.899999999999999</v>
      </c>
      <c r="Q23" s="32">
        <v>19.8</v>
      </c>
      <c r="R23" s="32">
        <v>16.2</v>
      </c>
      <c r="S23" s="32">
        <v>19.5</v>
      </c>
      <c r="T23" s="32">
        <v>22</v>
      </c>
      <c r="U23" s="32">
        <v>24</v>
      </c>
      <c r="V23" s="32">
        <v>24.5</v>
      </c>
      <c r="W23" s="32">
        <v>24.5</v>
      </c>
      <c r="X23" s="32">
        <v>24.5</v>
      </c>
      <c r="Y23" s="32">
        <v>24.5</v>
      </c>
      <c r="Z23" s="32">
        <v>24.5</v>
      </c>
      <c r="AA23" s="32">
        <v>24.5</v>
      </c>
      <c r="AB23" s="32">
        <v>24.5</v>
      </c>
    </row>
    <row r="24" spans="1:28" x14ac:dyDescent="0.2">
      <c r="A24" s="7" t="s">
        <v>153</v>
      </c>
      <c r="C24" s="32">
        <v>3.4</v>
      </c>
      <c r="D24" s="32">
        <v>4.7</v>
      </c>
      <c r="E24" s="32">
        <v>5</v>
      </c>
      <c r="F24" s="32">
        <v>5.7</v>
      </c>
      <c r="G24" s="32">
        <v>5.7</v>
      </c>
      <c r="H24" s="32">
        <v>5.8</v>
      </c>
      <c r="I24" s="32">
        <v>6.1</v>
      </c>
      <c r="J24" s="32">
        <v>5.3</v>
      </c>
      <c r="K24" s="32">
        <v>5.4</v>
      </c>
      <c r="L24" s="32">
        <v>6.6</v>
      </c>
      <c r="M24" s="32">
        <v>7.6</v>
      </c>
      <c r="N24" s="32">
        <v>4.7</v>
      </c>
      <c r="O24" s="32">
        <v>1</v>
      </c>
      <c r="P24" s="32">
        <v>1.3</v>
      </c>
      <c r="Q24" s="32">
        <v>3.4</v>
      </c>
      <c r="R24" s="32">
        <v>3.4</v>
      </c>
      <c r="S24" s="32">
        <v>0.4</v>
      </c>
      <c r="T24" s="32">
        <v>1.5</v>
      </c>
      <c r="U24" s="32">
        <v>3</v>
      </c>
      <c r="V24" s="32">
        <v>4</v>
      </c>
      <c r="W24" s="32">
        <v>4.8</v>
      </c>
      <c r="X24" s="32">
        <v>5.2</v>
      </c>
      <c r="Y24" s="32">
        <v>5.5</v>
      </c>
      <c r="Z24" s="32">
        <v>5.5</v>
      </c>
      <c r="AA24" s="32">
        <v>5.5</v>
      </c>
      <c r="AB24" s="32">
        <v>5.5</v>
      </c>
    </row>
    <row r="25" spans="1:28" x14ac:dyDescent="0.2">
      <c r="A25" s="7" t="s">
        <v>154</v>
      </c>
      <c r="C25" s="32">
        <v>6.1</v>
      </c>
      <c r="D25" s="32">
        <v>7.3</v>
      </c>
      <c r="E25" s="32">
        <v>6.5</v>
      </c>
      <c r="F25" s="32">
        <v>8.1999999999999993</v>
      </c>
      <c r="G25" s="32">
        <v>10.9</v>
      </c>
      <c r="H25" s="32">
        <v>10</v>
      </c>
      <c r="I25" s="32">
        <v>5.7</v>
      </c>
      <c r="J25" s="32">
        <v>3.7</v>
      </c>
      <c r="K25" s="32">
        <v>2</v>
      </c>
      <c r="L25" s="32">
        <v>4.0999999999999996</v>
      </c>
      <c r="M25" s="32">
        <v>7.9</v>
      </c>
      <c r="N25" s="32">
        <v>4.4000000000000004</v>
      </c>
      <c r="O25" s="32">
        <v>2.4</v>
      </c>
      <c r="P25" s="32">
        <v>2</v>
      </c>
      <c r="Q25" s="32">
        <v>11.5</v>
      </c>
      <c r="R25" s="32">
        <v>11.2</v>
      </c>
      <c r="S25" s="32">
        <v>7.5</v>
      </c>
      <c r="T25" s="32">
        <v>9</v>
      </c>
      <c r="U25" s="32">
        <v>10.5</v>
      </c>
      <c r="V25" s="32">
        <v>11</v>
      </c>
      <c r="W25" s="32">
        <v>11.5</v>
      </c>
      <c r="X25" s="32">
        <v>11.7</v>
      </c>
      <c r="Y25" s="32">
        <v>12</v>
      </c>
      <c r="Z25" s="32">
        <v>12</v>
      </c>
      <c r="AA25" s="32">
        <v>12</v>
      </c>
      <c r="AB25" s="32">
        <v>12</v>
      </c>
    </row>
    <row r="26" spans="1:28" x14ac:dyDescent="0.2">
      <c r="A26" s="7" t="s">
        <v>169</v>
      </c>
      <c r="C26" s="32">
        <f>16+3.7+3.4+4</f>
        <v>27.099999999999998</v>
      </c>
      <c r="D26" s="32">
        <v>18</v>
      </c>
      <c r="E26" s="32">
        <v>15.5</v>
      </c>
      <c r="F26" s="32">
        <v>2.2000000000000002</v>
      </c>
      <c r="G26" s="32">
        <v>0</v>
      </c>
      <c r="H26" s="32">
        <v>0</v>
      </c>
      <c r="I26" s="32">
        <v>2.2999999999999998</v>
      </c>
      <c r="J26" s="32">
        <v>7.3</v>
      </c>
      <c r="K26" s="32">
        <v>3.3</v>
      </c>
      <c r="L26" s="32">
        <v>1.3</v>
      </c>
      <c r="M26" s="32">
        <v>0.9</v>
      </c>
      <c r="N26" s="32">
        <v>2.1</v>
      </c>
      <c r="O26" s="32">
        <v>1.1000000000000001</v>
      </c>
      <c r="P26" s="32">
        <v>2.2000000000000002</v>
      </c>
      <c r="Q26" s="32">
        <v>4.8</v>
      </c>
      <c r="R26" s="32">
        <v>2.2000000000000002</v>
      </c>
      <c r="S26" s="32">
        <v>3</v>
      </c>
      <c r="T26" s="32">
        <v>3.7</v>
      </c>
      <c r="U26" s="32">
        <v>3.7</v>
      </c>
      <c r="V26" s="32">
        <v>5.0999999999999996</v>
      </c>
      <c r="W26" s="32">
        <v>5.5</v>
      </c>
      <c r="X26" s="32">
        <v>5.5</v>
      </c>
      <c r="Y26" s="32">
        <v>5.5</v>
      </c>
      <c r="Z26" s="32">
        <v>5.5</v>
      </c>
      <c r="AA26" s="32">
        <v>5.5</v>
      </c>
      <c r="AB26" s="32">
        <v>5.5</v>
      </c>
    </row>
    <row r="27" spans="1:28" x14ac:dyDescent="0.2">
      <c r="A27" s="7" t="s">
        <v>156</v>
      </c>
      <c r="C27" s="32">
        <v>3.7</v>
      </c>
      <c r="D27" s="32">
        <v>2.6</v>
      </c>
      <c r="E27" s="32">
        <v>0.4</v>
      </c>
      <c r="F27" s="32">
        <v>1.6</v>
      </c>
      <c r="G27" s="32">
        <v>2.2999999999999998</v>
      </c>
      <c r="H27" s="32">
        <v>2.5</v>
      </c>
      <c r="I27" s="32">
        <v>1.1000000000000001</v>
      </c>
      <c r="J27" s="32">
        <v>2.7</v>
      </c>
      <c r="K27" s="32">
        <v>2.6</v>
      </c>
      <c r="L27" s="32">
        <v>1.2</v>
      </c>
      <c r="M27" s="32">
        <v>2.4</v>
      </c>
      <c r="N27" s="32">
        <v>2.2999999999999998</v>
      </c>
      <c r="O27" s="32">
        <v>0</v>
      </c>
      <c r="P27" s="32">
        <v>0</v>
      </c>
      <c r="Q27" s="32">
        <v>0</v>
      </c>
      <c r="R27" s="32">
        <v>0.5</v>
      </c>
      <c r="S27" s="32">
        <v>1.4</v>
      </c>
      <c r="T27" s="32">
        <v>1.8</v>
      </c>
      <c r="U27" s="32">
        <v>2</v>
      </c>
      <c r="V27" s="32">
        <v>2</v>
      </c>
      <c r="W27" s="32">
        <v>2</v>
      </c>
      <c r="X27" s="32">
        <v>2</v>
      </c>
      <c r="Y27" s="32">
        <v>2</v>
      </c>
      <c r="Z27" s="32">
        <v>2</v>
      </c>
      <c r="AA27" s="32">
        <v>2</v>
      </c>
      <c r="AB27" s="32">
        <v>2</v>
      </c>
    </row>
    <row r="28" spans="1:28" x14ac:dyDescent="0.2">
      <c r="A28" s="7" t="s">
        <v>159</v>
      </c>
      <c r="C28" s="32">
        <v>3.4</v>
      </c>
      <c r="D28" s="32">
        <v>3.5</v>
      </c>
      <c r="E28" s="32">
        <v>2</v>
      </c>
      <c r="F28" s="32">
        <v>1.5</v>
      </c>
      <c r="G28" s="32">
        <v>2.5</v>
      </c>
      <c r="H28" s="32">
        <v>0.5</v>
      </c>
      <c r="I28" s="32">
        <v>0</v>
      </c>
      <c r="J28" s="32">
        <v>2.5</v>
      </c>
      <c r="K28" s="32">
        <v>2.2999999999999998</v>
      </c>
      <c r="L28" s="32">
        <v>4.0999999999999996</v>
      </c>
      <c r="M28" s="32">
        <v>6</v>
      </c>
      <c r="N28" s="32">
        <v>10.5</v>
      </c>
      <c r="O28" s="32">
        <v>4</v>
      </c>
      <c r="P28" s="32">
        <v>3.6</v>
      </c>
      <c r="Q28" s="32">
        <v>9.8000000000000007</v>
      </c>
      <c r="R28" s="32">
        <v>9.6999999999999993</v>
      </c>
      <c r="S28" s="32">
        <v>9.5</v>
      </c>
      <c r="T28" s="32">
        <v>9</v>
      </c>
      <c r="U28" s="32">
        <v>8.5</v>
      </c>
      <c r="V28" s="32">
        <v>8</v>
      </c>
      <c r="W28" s="32">
        <v>7.5</v>
      </c>
      <c r="X28" s="32">
        <v>7</v>
      </c>
      <c r="Y28" s="32">
        <v>6.5</v>
      </c>
      <c r="Z28" s="32">
        <v>6.5</v>
      </c>
      <c r="AA28" s="32">
        <v>6.5</v>
      </c>
      <c r="AB28" s="32">
        <v>6.5</v>
      </c>
    </row>
    <row r="29" spans="1:28" x14ac:dyDescent="0.2">
      <c r="A29" s="7" t="s">
        <v>285</v>
      </c>
      <c r="C29" s="32">
        <v>3.3</v>
      </c>
      <c r="D29" s="32">
        <v>1.5</v>
      </c>
      <c r="E29" s="32">
        <v>1.5</v>
      </c>
      <c r="F29" s="32">
        <v>0.5</v>
      </c>
      <c r="G29" s="32">
        <v>2.2000000000000002</v>
      </c>
      <c r="H29" s="32">
        <v>0.8</v>
      </c>
      <c r="I29" s="32">
        <v>1.5</v>
      </c>
      <c r="J29" s="32">
        <v>1.7</v>
      </c>
      <c r="K29" s="32">
        <v>1.5</v>
      </c>
      <c r="L29" s="32">
        <v>1.3</v>
      </c>
      <c r="M29" s="32">
        <v>0</v>
      </c>
      <c r="N29" s="32">
        <v>0.4</v>
      </c>
      <c r="O29" s="32">
        <v>1.6</v>
      </c>
      <c r="P29" s="32">
        <v>1.1000000000000001</v>
      </c>
      <c r="Q29" s="32">
        <v>2</v>
      </c>
      <c r="R29" s="32">
        <v>0.9</v>
      </c>
      <c r="S29" s="32">
        <v>0.5</v>
      </c>
      <c r="T29" s="32">
        <v>0.8</v>
      </c>
      <c r="U29" s="32">
        <v>0.8</v>
      </c>
      <c r="V29" s="32">
        <v>0.8</v>
      </c>
      <c r="W29" s="32">
        <v>0.8</v>
      </c>
      <c r="X29" s="32">
        <v>0.8</v>
      </c>
      <c r="Y29" s="32">
        <v>0.8</v>
      </c>
      <c r="Z29" s="32">
        <v>0.8</v>
      </c>
      <c r="AA29" s="32">
        <v>0.8</v>
      </c>
      <c r="AB29" s="32">
        <v>0.8</v>
      </c>
    </row>
    <row r="30" spans="1:28" x14ac:dyDescent="0.2">
      <c r="A30" s="7" t="s">
        <v>267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0.2</v>
      </c>
      <c r="J30" s="32">
        <v>0.7</v>
      </c>
      <c r="K30" s="32">
        <v>1.5</v>
      </c>
      <c r="L30" s="32">
        <v>1.3</v>
      </c>
      <c r="M30" s="32">
        <v>0.4</v>
      </c>
      <c r="N30" s="32">
        <v>0.4</v>
      </c>
      <c r="O30" s="32">
        <v>1.7</v>
      </c>
      <c r="P30" s="32">
        <v>1.2</v>
      </c>
      <c r="Q30" s="32">
        <v>1.8</v>
      </c>
      <c r="R30" s="32">
        <v>1.8</v>
      </c>
      <c r="S30" s="32">
        <v>0.6</v>
      </c>
      <c r="T30" s="32">
        <v>0.8</v>
      </c>
      <c r="U30" s="32">
        <v>0.8</v>
      </c>
      <c r="V30" s="32">
        <v>0.7</v>
      </c>
      <c r="W30" s="32">
        <v>0.6</v>
      </c>
      <c r="X30" s="32">
        <v>0.5</v>
      </c>
      <c r="Y30" s="32">
        <v>0.5</v>
      </c>
      <c r="Z30" s="32">
        <v>0.5</v>
      </c>
      <c r="AA30" s="32">
        <v>0.5</v>
      </c>
      <c r="AB30" s="32">
        <v>0.8</v>
      </c>
    </row>
    <row r="31" spans="1:28" x14ac:dyDescent="0.2">
      <c r="A31" s="7" t="s">
        <v>170</v>
      </c>
      <c r="C31" s="32">
        <v>0.8</v>
      </c>
      <c r="D31" s="32">
        <v>0.8</v>
      </c>
      <c r="E31" s="32">
        <v>2</v>
      </c>
      <c r="F31" s="32">
        <v>0.6</v>
      </c>
      <c r="G31" s="32">
        <v>0.4</v>
      </c>
      <c r="H31" s="32">
        <v>0.5</v>
      </c>
      <c r="I31" s="32">
        <v>0.5</v>
      </c>
      <c r="J31" s="32">
        <v>0.5</v>
      </c>
      <c r="K31" s="32">
        <v>0.2</v>
      </c>
      <c r="L31" s="32">
        <v>0.1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0.1</v>
      </c>
      <c r="U31" s="32">
        <v>0.1</v>
      </c>
      <c r="V31" s="32">
        <v>0.1</v>
      </c>
      <c r="W31" s="32">
        <v>0.1</v>
      </c>
      <c r="X31" s="32">
        <v>0.1</v>
      </c>
      <c r="Y31" s="32">
        <v>0.1</v>
      </c>
      <c r="Z31" s="32">
        <v>0.1</v>
      </c>
      <c r="AA31" s="32">
        <v>0.1</v>
      </c>
      <c r="AB31" s="32">
        <v>0.1</v>
      </c>
    </row>
    <row r="32" spans="1:28" x14ac:dyDescent="0.2">
      <c r="A32" s="7" t="s">
        <v>271</v>
      </c>
      <c r="C32" s="32">
        <v>1</v>
      </c>
      <c r="D32" s="32">
        <v>1</v>
      </c>
      <c r="E32" s="32">
        <v>0.9</v>
      </c>
      <c r="F32" s="32">
        <v>0.8</v>
      </c>
      <c r="G32" s="32">
        <v>0.6</v>
      </c>
      <c r="H32" s="32">
        <v>0.3</v>
      </c>
      <c r="I32" s="32">
        <v>0.4</v>
      </c>
      <c r="J32" s="32">
        <v>0.4</v>
      </c>
      <c r="K32" s="32">
        <v>0.2</v>
      </c>
      <c r="L32" s="32">
        <v>0.1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</row>
    <row r="33" spans="1:28" x14ac:dyDescent="0.2">
      <c r="A33" s="7" t="s">
        <v>274</v>
      </c>
      <c r="C33" s="32">
        <v>1.4</v>
      </c>
      <c r="D33" s="32">
        <v>1.4</v>
      </c>
      <c r="E33" s="32">
        <v>1.5</v>
      </c>
      <c r="F33" s="32">
        <v>1.8</v>
      </c>
      <c r="G33" s="32">
        <v>1.5</v>
      </c>
      <c r="H33" s="32">
        <v>0.8</v>
      </c>
      <c r="I33" s="32">
        <v>0.8</v>
      </c>
      <c r="J33" s="32">
        <v>0.7</v>
      </c>
      <c r="K33" s="32">
        <v>0.4</v>
      </c>
      <c r="L33" s="32">
        <v>0.2</v>
      </c>
      <c r="M33" s="32">
        <v>0.1</v>
      </c>
      <c r="N33" s="32">
        <v>0.1</v>
      </c>
      <c r="O33" s="32">
        <v>0.1</v>
      </c>
      <c r="P33" s="32">
        <v>0.1</v>
      </c>
      <c r="Q33" s="32">
        <v>0.1</v>
      </c>
      <c r="R33" s="32">
        <v>0.1</v>
      </c>
      <c r="S33" s="32">
        <v>0</v>
      </c>
      <c r="T33" s="32">
        <v>0.1</v>
      </c>
      <c r="U33" s="32">
        <v>0.1</v>
      </c>
      <c r="V33" s="32">
        <v>0.1</v>
      </c>
      <c r="W33" s="32">
        <v>0.1</v>
      </c>
      <c r="X33" s="32">
        <v>0.1</v>
      </c>
      <c r="Y33" s="32">
        <v>0.1</v>
      </c>
      <c r="Z33" s="32">
        <v>0.1</v>
      </c>
      <c r="AA33" s="32">
        <v>0.1</v>
      </c>
      <c r="AB33" s="32">
        <v>0.1</v>
      </c>
    </row>
    <row r="34" spans="1:28" x14ac:dyDescent="0.2">
      <c r="A34" s="7" t="s">
        <v>276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0.1</v>
      </c>
      <c r="L34" s="32">
        <v>0.1</v>
      </c>
      <c r="M34" s="32">
        <v>0</v>
      </c>
      <c r="N34" s="32">
        <v>0.1</v>
      </c>
      <c r="O34" s="32">
        <v>0.1</v>
      </c>
      <c r="P34" s="32">
        <v>0.1</v>
      </c>
      <c r="Q34" s="32">
        <v>0.3</v>
      </c>
      <c r="R34" s="32">
        <v>0.6</v>
      </c>
      <c r="S34" s="32">
        <v>0.1</v>
      </c>
      <c r="T34" s="32">
        <v>0.3</v>
      </c>
      <c r="U34" s="32">
        <v>0.4</v>
      </c>
      <c r="V34" s="32">
        <v>0.4</v>
      </c>
      <c r="W34" s="32">
        <v>0.4</v>
      </c>
      <c r="X34" s="32">
        <v>0.4</v>
      </c>
      <c r="Y34" s="32">
        <v>0.4</v>
      </c>
      <c r="Z34" s="32">
        <v>0.4</v>
      </c>
      <c r="AA34" s="32">
        <v>0.4</v>
      </c>
      <c r="AB34" s="32">
        <v>0.4</v>
      </c>
    </row>
    <row r="35" spans="1:28" x14ac:dyDescent="0.2">
      <c r="A35" s="7" t="s">
        <v>279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0.1</v>
      </c>
      <c r="Q35" s="32">
        <v>0.1</v>
      </c>
      <c r="R35" s="32">
        <v>0.3</v>
      </c>
      <c r="S35" s="32">
        <v>0.1</v>
      </c>
      <c r="T35" s="32">
        <v>0.2</v>
      </c>
      <c r="U35" s="32">
        <v>0.3</v>
      </c>
      <c r="V35" s="32">
        <v>0.3</v>
      </c>
      <c r="W35" s="32">
        <v>0.3</v>
      </c>
      <c r="X35" s="32">
        <v>0.3</v>
      </c>
      <c r="Y35" s="32">
        <v>0.3</v>
      </c>
      <c r="Z35" s="32">
        <v>0.3</v>
      </c>
      <c r="AA35" s="32">
        <v>0.3</v>
      </c>
      <c r="AB35" s="32">
        <v>0.3</v>
      </c>
    </row>
    <row r="36" spans="1:28" x14ac:dyDescent="0.2">
      <c r="A36" s="7" t="s">
        <v>173</v>
      </c>
      <c r="C36" s="32">
        <v>0</v>
      </c>
      <c r="D36" s="32">
        <v>0</v>
      </c>
      <c r="E36" s="32">
        <v>1.3</v>
      </c>
      <c r="F36" s="32">
        <v>3.7</v>
      </c>
      <c r="G36" s="32">
        <v>2.7</v>
      </c>
      <c r="H36" s="32">
        <v>0</v>
      </c>
      <c r="I36" s="32">
        <v>0</v>
      </c>
      <c r="J36" s="32">
        <v>0</v>
      </c>
      <c r="K36" s="32">
        <v>0</v>
      </c>
      <c r="L36" s="32">
        <v>0.2</v>
      </c>
      <c r="M36" s="32">
        <v>0</v>
      </c>
      <c r="N36" s="32">
        <v>1</v>
      </c>
      <c r="O36" s="32">
        <v>2.1</v>
      </c>
      <c r="P36" s="32">
        <v>2.9</v>
      </c>
      <c r="Q36" s="32">
        <v>2</v>
      </c>
      <c r="R36" s="32">
        <v>2.8</v>
      </c>
      <c r="S36" s="32">
        <v>3.4</v>
      </c>
      <c r="T36" s="32">
        <v>3.7</v>
      </c>
      <c r="U36" s="32">
        <v>4</v>
      </c>
      <c r="V36" s="32">
        <v>4.3</v>
      </c>
      <c r="W36" s="32">
        <v>4.5</v>
      </c>
      <c r="X36" s="32">
        <v>4.7</v>
      </c>
      <c r="Y36" s="32">
        <v>5</v>
      </c>
      <c r="Z36" s="32">
        <v>5</v>
      </c>
      <c r="AA36" s="32">
        <v>5</v>
      </c>
      <c r="AB36" s="32">
        <v>5</v>
      </c>
    </row>
    <row r="37" spans="1:28" x14ac:dyDescent="0.2">
      <c r="A37" s="7" t="s">
        <v>177</v>
      </c>
      <c r="C37" s="32">
        <v>0</v>
      </c>
      <c r="D37" s="32">
        <v>1.3</v>
      </c>
      <c r="E37" s="32">
        <v>4.0999999999999996</v>
      </c>
      <c r="F37" s="32">
        <v>12.1</v>
      </c>
      <c r="G37" s="32">
        <v>15.7</v>
      </c>
      <c r="H37" s="32">
        <v>0.8</v>
      </c>
      <c r="I37" s="32">
        <v>4.0999999999999996</v>
      </c>
      <c r="J37" s="32">
        <v>6</v>
      </c>
      <c r="K37" s="32">
        <v>0</v>
      </c>
      <c r="L37" s="32">
        <v>0</v>
      </c>
      <c r="M37" s="32">
        <v>0</v>
      </c>
      <c r="N37" s="32">
        <v>2</v>
      </c>
      <c r="O37" s="32">
        <v>6.3</v>
      </c>
      <c r="P37" s="32">
        <v>7.6</v>
      </c>
      <c r="Q37" s="32">
        <v>9</v>
      </c>
      <c r="R37" s="32">
        <v>9</v>
      </c>
      <c r="S37" s="32">
        <v>10</v>
      </c>
      <c r="T37" s="32">
        <v>10</v>
      </c>
      <c r="U37" s="32">
        <v>10</v>
      </c>
      <c r="V37" s="32">
        <v>10</v>
      </c>
      <c r="W37" s="32">
        <v>10</v>
      </c>
      <c r="X37" s="32">
        <v>10</v>
      </c>
      <c r="Y37" s="32">
        <v>10</v>
      </c>
      <c r="Z37" s="32">
        <v>10</v>
      </c>
      <c r="AA37" s="32">
        <v>10</v>
      </c>
      <c r="AB37" s="32">
        <v>10</v>
      </c>
    </row>
    <row r="38" spans="1:28" x14ac:dyDescent="0.2">
      <c r="A38" s="7" t="s">
        <v>119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0.2</v>
      </c>
      <c r="S38" s="32">
        <v>10</v>
      </c>
      <c r="T38" s="32">
        <v>25</v>
      </c>
      <c r="U38" s="32">
        <v>50</v>
      </c>
      <c r="V38" s="32">
        <v>60</v>
      </c>
      <c r="W38" s="32">
        <v>60</v>
      </c>
      <c r="X38" s="32">
        <v>60</v>
      </c>
      <c r="Y38" s="32">
        <v>60</v>
      </c>
      <c r="Z38" s="32">
        <v>60</v>
      </c>
      <c r="AA38" s="32">
        <v>60</v>
      </c>
      <c r="AB38" s="32">
        <v>60</v>
      </c>
    </row>
    <row r="39" spans="1:28" x14ac:dyDescent="0.2">
      <c r="A39" s="7" t="s">
        <v>120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0.5</v>
      </c>
      <c r="S39" s="32">
        <v>7.5</v>
      </c>
      <c r="T39" s="32">
        <v>22.5</v>
      </c>
      <c r="U39" s="32">
        <v>50</v>
      </c>
      <c r="V39" s="32">
        <v>60</v>
      </c>
      <c r="W39" s="32">
        <v>60</v>
      </c>
      <c r="X39" s="32">
        <v>60</v>
      </c>
      <c r="Y39" s="32">
        <v>60</v>
      </c>
      <c r="Z39" s="32">
        <v>60</v>
      </c>
      <c r="AA39" s="32">
        <v>60</v>
      </c>
      <c r="AB39" s="32">
        <v>60</v>
      </c>
    </row>
    <row r="40" spans="1:28" x14ac:dyDescent="0.2">
      <c r="A40" s="7" t="s">
        <v>223</v>
      </c>
      <c r="C40" s="32">
        <v>4.3</v>
      </c>
      <c r="D40" s="32">
        <v>5.3</v>
      </c>
      <c r="E40" s="32">
        <v>5.5</v>
      </c>
      <c r="F40" s="32">
        <v>6.2</v>
      </c>
      <c r="G40" s="32">
        <v>7</v>
      </c>
      <c r="H40" s="32">
        <v>7.2</v>
      </c>
      <c r="I40" s="32">
        <v>7.9</v>
      </c>
      <c r="J40" s="32">
        <v>7.3</v>
      </c>
      <c r="K40" s="32">
        <v>5.4</v>
      </c>
      <c r="L40" s="32">
        <v>0.5</v>
      </c>
      <c r="M40" s="32">
        <v>6.4</v>
      </c>
      <c r="N40" s="32">
        <v>6.3</v>
      </c>
      <c r="O40" s="32">
        <v>7.6</v>
      </c>
      <c r="P40" s="32">
        <v>7.3</v>
      </c>
      <c r="Q40" s="32">
        <v>6.5</v>
      </c>
      <c r="R40" s="32">
        <v>6.8</v>
      </c>
      <c r="S40" s="32">
        <v>7.1</v>
      </c>
      <c r="T40" s="32">
        <v>7.6</v>
      </c>
      <c r="U40" s="32">
        <v>8.3000000000000007</v>
      </c>
      <c r="V40" s="32">
        <v>8.9</v>
      </c>
      <c r="W40" s="32">
        <v>9.4</v>
      </c>
      <c r="X40" s="32">
        <v>9.4</v>
      </c>
      <c r="Y40" s="32">
        <v>9.5</v>
      </c>
      <c r="Z40" s="32">
        <v>9.5</v>
      </c>
      <c r="AA40" s="32">
        <v>9.6</v>
      </c>
      <c r="AB40" s="32">
        <v>9.6</v>
      </c>
    </row>
    <row r="41" spans="1:28" x14ac:dyDescent="0.2">
      <c r="A41" s="7" t="s">
        <v>225</v>
      </c>
      <c r="C41" s="32">
        <v>2</v>
      </c>
      <c r="D41" s="32">
        <v>1.6</v>
      </c>
      <c r="E41" s="32">
        <v>1.7</v>
      </c>
      <c r="F41" s="32">
        <v>2.4</v>
      </c>
      <c r="G41" s="32">
        <v>3.4</v>
      </c>
      <c r="H41" s="32">
        <v>5.0999999999999996</v>
      </c>
      <c r="I41" s="32">
        <v>6.4</v>
      </c>
      <c r="J41" s="32">
        <v>6.3</v>
      </c>
      <c r="K41" s="32">
        <v>6</v>
      </c>
      <c r="L41" s="32">
        <v>6</v>
      </c>
      <c r="M41" s="32">
        <v>6.7</v>
      </c>
      <c r="N41" s="32">
        <v>6.5</v>
      </c>
      <c r="O41" s="32">
        <v>6</v>
      </c>
      <c r="P41" s="32">
        <v>6.5</v>
      </c>
      <c r="Q41" s="32">
        <v>6.2</v>
      </c>
      <c r="R41" s="32">
        <v>6.1</v>
      </c>
      <c r="S41" s="32">
        <v>6.1</v>
      </c>
      <c r="T41" s="32">
        <v>6.3</v>
      </c>
      <c r="U41" s="32">
        <v>6.6</v>
      </c>
      <c r="V41" s="32">
        <v>6.9</v>
      </c>
      <c r="W41" s="32">
        <v>7.1</v>
      </c>
      <c r="X41" s="32">
        <v>7.2</v>
      </c>
      <c r="Y41" s="32">
        <v>7.2</v>
      </c>
      <c r="Z41" s="32">
        <v>7.2</v>
      </c>
      <c r="AA41" s="32">
        <v>7.2</v>
      </c>
      <c r="AB41" s="32">
        <v>7.2</v>
      </c>
    </row>
    <row r="42" spans="1:28" x14ac:dyDescent="0.2">
      <c r="A42" s="7" t="s">
        <v>224</v>
      </c>
      <c r="C42" s="32">
        <v>1.7</v>
      </c>
      <c r="D42" s="32">
        <v>2.7</v>
      </c>
      <c r="E42" s="32">
        <v>3.2</v>
      </c>
      <c r="F42" s="32">
        <v>2.1</v>
      </c>
      <c r="G42" s="32">
        <v>1.5</v>
      </c>
      <c r="H42" s="32">
        <v>0.9</v>
      </c>
      <c r="I42" s="32">
        <v>1.6</v>
      </c>
      <c r="J42" s="32">
        <v>1.6</v>
      </c>
      <c r="K42" s="32">
        <v>1.7</v>
      </c>
      <c r="L42" s="32">
        <v>2.1</v>
      </c>
      <c r="M42" s="32">
        <v>2.7</v>
      </c>
      <c r="N42" s="32">
        <v>2.5</v>
      </c>
      <c r="O42" s="32">
        <v>2.2000000000000002</v>
      </c>
      <c r="P42" s="32">
        <v>2.2000000000000002</v>
      </c>
      <c r="Q42" s="32">
        <v>2.1</v>
      </c>
      <c r="R42" s="32">
        <v>2.1</v>
      </c>
      <c r="S42" s="32">
        <v>2.2999999999999998</v>
      </c>
      <c r="T42" s="32">
        <v>2.6</v>
      </c>
      <c r="U42" s="32">
        <v>2.9</v>
      </c>
      <c r="V42" s="32">
        <v>3</v>
      </c>
      <c r="W42" s="32">
        <v>3</v>
      </c>
      <c r="X42" s="32">
        <v>3.1</v>
      </c>
      <c r="Y42" s="32">
        <v>3.1</v>
      </c>
      <c r="Z42" s="32">
        <v>3.2</v>
      </c>
      <c r="AA42" s="32">
        <v>3.2</v>
      </c>
      <c r="AB42" s="32">
        <v>3.2</v>
      </c>
    </row>
    <row r="43" spans="1:28" x14ac:dyDescent="0.2">
      <c r="A43" s="7" t="s">
        <v>127</v>
      </c>
      <c r="C43" s="32">
        <v>6.5</v>
      </c>
      <c r="D43" s="32">
        <v>5.2</v>
      </c>
      <c r="E43" s="32">
        <v>5.2</v>
      </c>
      <c r="F43" s="32">
        <v>8.8000000000000007</v>
      </c>
      <c r="G43" s="32">
        <v>9.6999999999999993</v>
      </c>
      <c r="H43" s="32">
        <v>5.8</v>
      </c>
      <c r="I43" s="32">
        <v>5</v>
      </c>
      <c r="J43" s="32">
        <v>3.2</v>
      </c>
      <c r="K43" s="32">
        <v>3.6</v>
      </c>
      <c r="L43" s="32">
        <v>3.2</v>
      </c>
      <c r="M43" s="32">
        <v>5</v>
      </c>
      <c r="N43" s="32">
        <v>3</v>
      </c>
      <c r="O43" s="32">
        <v>1.7</v>
      </c>
      <c r="P43" s="32">
        <v>3</v>
      </c>
      <c r="Q43" s="32">
        <v>4.0999999999999996</v>
      </c>
      <c r="R43" s="32">
        <v>2.6</v>
      </c>
      <c r="S43" s="32">
        <v>2.7</v>
      </c>
      <c r="T43" s="32">
        <v>0.3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</row>
    <row r="44" spans="1:28" x14ac:dyDescent="0.2">
      <c r="A44" s="7" t="s">
        <v>130</v>
      </c>
      <c r="C44" s="32">
        <v>1.6</v>
      </c>
      <c r="D44" s="32">
        <v>1</v>
      </c>
      <c r="E44" s="32">
        <v>2.4</v>
      </c>
      <c r="F44" s="32">
        <v>1.9</v>
      </c>
      <c r="G44" s="32">
        <v>2.5</v>
      </c>
      <c r="H44" s="32">
        <v>2.4</v>
      </c>
      <c r="I44" s="32">
        <v>2.5</v>
      </c>
      <c r="J44" s="32">
        <v>1.8</v>
      </c>
      <c r="K44" s="32">
        <v>2.4</v>
      </c>
      <c r="L44" s="32">
        <v>2.2000000000000002</v>
      </c>
      <c r="M44" s="32">
        <v>2.5</v>
      </c>
      <c r="N44" s="32">
        <v>2.6</v>
      </c>
      <c r="O44" s="32">
        <v>2.6</v>
      </c>
      <c r="P44" s="32">
        <v>2.6</v>
      </c>
      <c r="Q44" s="32">
        <v>2.5</v>
      </c>
      <c r="R44" s="32">
        <v>2.2999999999999998</v>
      </c>
      <c r="S44" s="32">
        <v>2.4</v>
      </c>
      <c r="T44" s="32">
        <v>2.4</v>
      </c>
      <c r="U44" s="32">
        <v>2.4</v>
      </c>
      <c r="V44" s="32">
        <v>2.5</v>
      </c>
      <c r="W44" s="32">
        <v>2.7</v>
      </c>
      <c r="X44" s="32">
        <v>2.9</v>
      </c>
      <c r="Y44" s="32">
        <v>2.9</v>
      </c>
      <c r="Z44" s="32">
        <v>2.9</v>
      </c>
      <c r="AA44" s="32">
        <v>2.9</v>
      </c>
      <c r="AB44" s="32">
        <v>2.9</v>
      </c>
    </row>
    <row r="45" spans="1:28" x14ac:dyDescent="0.2">
      <c r="A45" s="7" t="s">
        <v>249</v>
      </c>
      <c r="C45" s="32">
        <v>0.5</v>
      </c>
      <c r="D45" s="32">
        <v>0.8</v>
      </c>
      <c r="E45" s="32">
        <v>1.3</v>
      </c>
      <c r="F45" s="32">
        <v>2</v>
      </c>
      <c r="G45" s="32">
        <v>0.7</v>
      </c>
      <c r="H45" s="32">
        <v>0</v>
      </c>
      <c r="I45" s="32">
        <v>0.5</v>
      </c>
      <c r="J45" s="32">
        <v>0.9</v>
      </c>
      <c r="K45" s="32">
        <v>3.3</v>
      </c>
      <c r="L45" s="32">
        <v>4.5999999999999996</v>
      </c>
      <c r="M45" s="32">
        <v>5.9</v>
      </c>
      <c r="N45" s="32">
        <v>6.8</v>
      </c>
      <c r="O45" s="32">
        <v>5.8</v>
      </c>
      <c r="P45" s="32">
        <v>6.6</v>
      </c>
      <c r="Q45" s="32">
        <v>5.8</v>
      </c>
      <c r="R45" s="32">
        <v>7</v>
      </c>
      <c r="S45" s="32">
        <v>7</v>
      </c>
      <c r="T45" s="32">
        <v>7</v>
      </c>
      <c r="U45" s="32">
        <v>7.1</v>
      </c>
      <c r="V45" s="32">
        <v>7.1</v>
      </c>
      <c r="W45" s="32">
        <v>7.2</v>
      </c>
      <c r="X45" s="32">
        <v>7.2</v>
      </c>
      <c r="Y45" s="32">
        <v>7.2</v>
      </c>
      <c r="Z45" s="32">
        <v>7.2</v>
      </c>
      <c r="AA45" s="32">
        <v>7.2</v>
      </c>
      <c r="AB45" s="32">
        <v>7.2</v>
      </c>
    </row>
    <row r="46" spans="1:28" x14ac:dyDescent="0.2">
      <c r="A46" s="7" t="s">
        <v>250</v>
      </c>
      <c r="C46" s="32">
        <v>2</v>
      </c>
      <c r="D46" s="32">
        <v>1.8</v>
      </c>
      <c r="E46" s="32">
        <v>1.7</v>
      </c>
      <c r="F46" s="32">
        <v>3.4</v>
      </c>
      <c r="G46" s="32">
        <v>1.5</v>
      </c>
      <c r="H46" s="32">
        <v>0</v>
      </c>
      <c r="I46" s="32">
        <v>0.3</v>
      </c>
      <c r="J46" s="32">
        <v>0.8</v>
      </c>
      <c r="K46" s="32">
        <v>1</v>
      </c>
      <c r="L46" s="32">
        <v>1.2</v>
      </c>
      <c r="M46" s="32">
        <v>1.5</v>
      </c>
      <c r="N46" s="32">
        <v>2.7</v>
      </c>
      <c r="O46" s="32">
        <v>3.4</v>
      </c>
      <c r="P46" s="32">
        <v>4</v>
      </c>
      <c r="Q46" s="32">
        <v>3.6</v>
      </c>
      <c r="R46" s="32">
        <v>3.5</v>
      </c>
      <c r="S46" s="32">
        <v>4.8</v>
      </c>
      <c r="T46" s="32">
        <v>5</v>
      </c>
      <c r="U46" s="32">
        <v>5</v>
      </c>
      <c r="V46" s="32">
        <v>5</v>
      </c>
      <c r="W46" s="32">
        <v>5</v>
      </c>
      <c r="X46" s="32">
        <v>5</v>
      </c>
      <c r="Y46" s="32">
        <v>5</v>
      </c>
      <c r="Z46" s="32">
        <v>5</v>
      </c>
      <c r="AA46" s="32">
        <v>5</v>
      </c>
      <c r="AB46" s="32">
        <v>5</v>
      </c>
    </row>
    <row r="47" spans="1:28" x14ac:dyDescent="0.2">
      <c r="A47" s="7" t="s">
        <v>251</v>
      </c>
      <c r="C47" s="32">
        <v>1.8</v>
      </c>
      <c r="D47" s="32">
        <v>2</v>
      </c>
      <c r="E47" s="32">
        <v>2.2000000000000002</v>
      </c>
      <c r="F47" s="32">
        <v>2.2999999999999998</v>
      </c>
      <c r="G47" s="32">
        <v>2</v>
      </c>
      <c r="H47" s="32">
        <v>1.5</v>
      </c>
      <c r="I47" s="32">
        <v>1.7</v>
      </c>
      <c r="J47" s="32">
        <v>1.8</v>
      </c>
      <c r="K47" s="32">
        <v>2</v>
      </c>
      <c r="L47" s="32">
        <v>2.5</v>
      </c>
      <c r="M47" s="32">
        <v>3.5</v>
      </c>
      <c r="N47" s="32">
        <v>4.5999999999999996</v>
      </c>
      <c r="O47" s="32">
        <v>4.8</v>
      </c>
      <c r="P47" s="32">
        <v>5.2</v>
      </c>
      <c r="Q47" s="32">
        <v>5.7</v>
      </c>
      <c r="R47" s="32">
        <v>6.2</v>
      </c>
      <c r="S47" s="32">
        <v>7</v>
      </c>
      <c r="T47" s="32">
        <v>8</v>
      </c>
      <c r="U47" s="32">
        <v>8.5</v>
      </c>
      <c r="V47" s="32">
        <v>9</v>
      </c>
      <c r="W47" s="32">
        <v>9.5</v>
      </c>
      <c r="X47" s="32">
        <v>10</v>
      </c>
      <c r="Y47" s="32">
        <v>10.5</v>
      </c>
      <c r="Z47" s="32">
        <v>10.5</v>
      </c>
      <c r="AA47" s="32">
        <v>10.5</v>
      </c>
      <c r="AB47" s="32">
        <v>10.5</v>
      </c>
    </row>
    <row r="48" spans="1:28" x14ac:dyDescent="0.2">
      <c r="A48" s="7" t="s">
        <v>252</v>
      </c>
      <c r="C48" s="32">
        <v>0.5</v>
      </c>
      <c r="D48" s="32">
        <v>0.5</v>
      </c>
      <c r="E48" s="32">
        <v>0.6</v>
      </c>
      <c r="F48" s="32">
        <v>0.6</v>
      </c>
      <c r="G48" s="32">
        <v>0.5</v>
      </c>
      <c r="H48" s="32">
        <v>0.4</v>
      </c>
      <c r="I48" s="32">
        <v>0.5</v>
      </c>
      <c r="J48" s="32">
        <v>0.6</v>
      </c>
      <c r="K48" s="32">
        <v>0.8</v>
      </c>
      <c r="L48" s="32">
        <v>1</v>
      </c>
      <c r="M48" s="32">
        <v>1.1000000000000001</v>
      </c>
      <c r="N48" s="32">
        <v>1.2</v>
      </c>
      <c r="O48" s="32">
        <v>1.2</v>
      </c>
      <c r="P48" s="32">
        <v>1.2</v>
      </c>
      <c r="Q48" s="32">
        <v>1.2</v>
      </c>
      <c r="R48" s="32">
        <v>2</v>
      </c>
      <c r="S48" s="32">
        <v>3</v>
      </c>
      <c r="T48" s="32">
        <v>4</v>
      </c>
      <c r="U48" s="32">
        <v>4</v>
      </c>
      <c r="V48" s="32">
        <v>4</v>
      </c>
      <c r="W48" s="32">
        <v>4</v>
      </c>
      <c r="X48" s="32">
        <v>4</v>
      </c>
      <c r="Y48" s="32">
        <v>4</v>
      </c>
      <c r="Z48" s="32">
        <v>4</v>
      </c>
      <c r="AA48" s="32">
        <v>4</v>
      </c>
      <c r="AB48" s="32">
        <v>4</v>
      </c>
    </row>
    <row r="49" spans="1:29" x14ac:dyDescent="0.2">
      <c r="A49" s="7" t="s">
        <v>253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0.2</v>
      </c>
      <c r="I49" s="32">
        <v>0.3</v>
      </c>
      <c r="J49" s="32">
        <v>0.5</v>
      </c>
      <c r="K49" s="32">
        <v>0.8</v>
      </c>
      <c r="L49" s="32">
        <v>0.9</v>
      </c>
      <c r="M49" s="32">
        <v>1</v>
      </c>
      <c r="N49" s="32">
        <v>1.2</v>
      </c>
      <c r="O49" s="32">
        <v>1.3</v>
      </c>
      <c r="P49" s="32">
        <v>1.3</v>
      </c>
      <c r="Q49" s="32">
        <v>1.5</v>
      </c>
      <c r="R49" s="32">
        <v>1.5</v>
      </c>
      <c r="S49" s="32">
        <v>1.5</v>
      </c>
      <c r="T49" s="32">
        <v>1.5</v>
      </c>
      <c r="U49" s="32">
        <v>1.5</v>
      </c>
      <c r="V49" s="32">
        <v>1.5</v>
      </c>
      <c r="W49" s="32">
        <v>1.5</v>
      </c>
      <c r="X49" s="32">
        <v>1.5</v>
      </c>
      <c r="Y49" s="32">
        <v>1.5</v>
      </c>
      <c r="Z49" s="32">
        <v>1.5</v>
      </c>
      <c r="AA49" s="32">
        <v>1.5</v>
      </c>
      <c r="AB49" s="32">
        <v>1.5</v>
      </c>
    </row>
    <row r="50" spans="1:29" x14ac:dyDescent="0.2">
      <c r="A50" s="7" t="s">
        <v>254</v>
      </c>
      <c r="C50" s="32">
        <v>0.8</v>
      </c>
      <c r="D50" s="32">
        <v>0.9</v>
      </c>
      <c r="E50" s="32">
        <v>1</v>
      </c>
      <c r="F50" s="32">
        <v>1.1000000000000001</v>
      </c>
      <c r="G50" s="32">
        <v>1</v>
      </c>
      <c r="H50" s="32">
        <v>0.8</v>
      </c>
      <c r="I50" s="32">
        <v>0.9</v>
      </c>
      <c r="J50" s="32">
        <v>1.1000000000000001</v>
      </c>
      <c r="K50" s="32">
        <v>1.5</v>
      </c>
      <c r="L50" s="32">
        <v>1.8</v>
      </c>
      <c r="M50" s="32">
        <v>2.2000000000000002</v>
      </c>
      <c r="N50" s="32">
        <v>3</v>
      </c>
      <c r="O50" s="32">
        <v>3.1</v>
      </c>
      <c r="P50" s="32">
        <v>3</v>
      </c>
      <c r="Q50" s="32">
        <v>2.8</v>
      </c>
      <c r="R50" s="32">
        <v>3</v>
      </c>
      <c r="S50" s="32">
        <v>3.2</v>
      </c>
      <c r="T50" s="32">
        <v>3.2</v>
      </c>
      <c r="U50" s="32">
        <v>3.2</v>
      </c>
      <c r="V50" s="32">
        <v>3.2</v>
      </c>
      <c r="W50" s="32">
        <v>3.2</v>
      </c>
      <c r="X50" s="32">
        <v>3.2</v>
      </c>
      <c r="Y50" s="32">
        <v>3.2</v>
      </c>
      <c r="Z50" s="32">
        <v>3.2</v>
      </c>
      <c r="AA50" s="32">
        <v>3.2</v>
      </c>
      <c r="AB50" s="32">
        <v>3.2</v>
      </c>
    </row>
    <row r="51" spans="1:29" x14ac:dyDescent="0.2">
      <c r="A51" s="7" t="s">
        <v>248</v>
      </c>
      <c r="C51" s="32">
        <v>0.6</v>
      </c>
      <c r="D51" s="32">
        <v>0.7</v>
      </c>
      <c r="E51" s="32">
        <v>0.8</v>
      </c>
      <c r="F51" s="32">
        <v>0.9</v>
      </c>
      <c r="G51" s="32">
        <v>0.9</v>
      </c>
      <c r="H51" s="32">
        <v>0.8</v>
      </c>
      <c r="I51" s="32">
        <v>0.9</v>
      </c>
      <c r="J51" s="32">
        <v>1</v>
      </c>
      <c r="K51" s="32">
        <v>1.2</v>
      </c>
      <c r="L51" s="32">
        <v>1.5</v>
      </c>
      <c r="M51" s="32">
        <v>1.6</v>
      </c>
      <c r="N51" s="32">
        <v>2</v>
      </c>
      <c r="O51" s="32">
        <v>2.8</v>
      </c>
      <c r="P51" s="32">
        <v>3.8</v>
      </c>
      <c r="Q51" s="32">
        <v>5</v>
      </c>
      <c r="R51" s="32">
        <v>5.5</v>
      </c>
      <c r="S51" s="32">
        <v>6.5</v>
      </c>
      <c r="T51" s="32">
        <v>8</v>
      </c>
      <c r="U51" s="32">
        <v>10</v>
      </c>
      <c r="V51" s="32">
        <v>11.5</v>
      </c>
      <c r="W51" s="32">
        <v>13</v>
      </c>
      <c r="X51" s="32">
        <v>14</v>
      </c>
      <c r="Y51" s="32">
        <v>15</v>
      </c>
      <c r="Z51" s="32">
        <v>15</v>
      </c>
      <c r="AA51" s="32">
        <v>15</v>
      </c>
      <c r="AB51" s="32">
        <v>15</v>
      </c>
    </row>
    <row r="52" spans="1:29" x14ac:dyDescent="0.2">
      <c r="A52" s="7" t="s">
        <v>255</v>
      </c>
      <c r="C52" s="32">
        <v>0.8</v>
      </c>
      <c r="D52" s="32">
        <v>0.9</v>
      </c>
      <c r="E52" s="32">
        <v>1</v>
      </c>
      <c r="F52" s="32">
        <v>1.1000000000000001</v>
      </c>
      <c r="G52" s="32">
        <v>1</v>
      </c>
      <c r="H52" s="32">
        <v>0.8</v>
      </c>
      <c r="I52" s="32">
        <v>0.9</v>
      </c>
      <c r="J52" s="32">
        <v>1</v>
      </c>
      <c r="K52" s="32">
        <v>1.2</v>
      </c>
      <c r="L52" s="32">
        <v>1.4</v>
      </c>
      <c r="M52" s="32">
        <v>1.6</v>
      </c>
      <c r="N52" s="32">
        <v>2.2999999999999998</v>
      </c>
      <c r="O52" s="32">
        <v>2.4</v>
      </c>
      <c r="P52" s="32">
        <v>2.5</v>
      </c>
      <c r="Q52" s="32">
        <v>2.8</v>
      </c>
      <c r="R52" s="32">
        <v>3</v>
      </c>
      <c r="S52" s="32">
        <v>3</v>
      </c>
      <c r="T52" s="32">
        <v>3.2</v>
      </c>
      <c r="U52" s="32">
        <v>3.6</v>
      </c>
      <c r="V52" s="32">
        <v>4</v>
      </c>
      <c r="W52" s="32">
        <v>4.5</v>
      </c>
      <c r="X52" s="32">
        <v>4.8</v>
      </c>
      <c r="Y52" s="32">
        <v>5</v>
      </c>
      <c r="Z52" s="32">
        <v>5.2</v>
      </c>
      <c r="AA52" s="32">
        <v>5.2</v>
      </c>
      <c r="AB52" s="32">
        <v>5.2</v>
      </c>
    </row>
    <row r="53" spans="1:29" x14ac:dyDescent="0.2">
      <c r="A53" s="7" t="s">
        <v>256</v>
      </c>
      <c r="C53" s="32">
        <v>0.7</v>
      </c>
      <c r="D53" s="32">
        <v>0.8</v>
      </c>
      <c r="E53" s="32">
        <v>0.9</v>
      </c>
      <c r="F53" s="32">
        <v>1</v>
      </c>
      <c r="G53" s="32">
        <v>0.9</v>
      </c>
      <c r="H53" s="32">
        <v>0.8</v>
      </c>
      <c r="I53" s="32">
        <v>0.8</v>
      </c>
      <c r="J53" s="32">
        <v>0.9</v>
      </c>
      <c r="K53" s="32">
        <v>1</v>
      </c>
      <c r="L53" s="32">
        <v>1.1000000000000001</v>
      </c>
      <c r="M53" s="32">
        <v>1.2</v>
      </c>
      <c r="N53" s="32">
        <v>1.5</v>
      </c>
      <c r="O53" s="32">
        <v>1.4</v>
      </c>
      <c r="P53" s="32">
        <v>1.3</v>
      </c>
      <c r="Q53" s="32">
        <v>1.1000000000000001</v>
      </c>
      <c r="R53" s="32">
        <v>1.1000000000000001</v>
      </c>
      <c r="S53" s="32">
        <v>1.1000000000000001</v>
      </c>
      <c r="T53" s="32">
        <v>1.1000000000000001</v>
      </c>
      <c r="U53" s="32">
        <v>1.8</v>
      </c>
      <c r="V53" s="32">
        <v>2.2000000000000002</v>
      </c>
      <c r="W53" s="32">
        <v>2.6</v>
      </c>
      <c r="X53" s="32">
        <v>2.6</v>
      </c>
      <c r="Y53" s="32">
        <v>2.6</v>
      </c>
      <c r="Z53" s="32">
        <v>2.6</v>
      </c>
      <c r="AA53" s="32">
        <v>2.6</v>
      </c>
      <c r="AB53" s="32">
        <v>2.6</v>
      </c>
    </row>
    <row r="54" spans="1:29" x14ac:dyDescent="0.2">
      <c r="A54" s="7" t="s">
        <v>137</v>
      </c>
      <c r="C54" s="32">
        <v>0</v>
      </c>
      <c r="D54" s="32">
        <v>0.3</v>
      </c>
      <c r="E54" s="32">
        <v>0.4</v>
      </c>
      <c r="F54" s="32">
        <v>4.0999999999999996</v>
      </c>
      <c r="G54" s="32">
        <v>8.4</v>
      </c>
      <c r="H54" s="32">
        <v>9.5</v>
      </c>
      <c r="I54" s="32">
        <v>8.5</v>
      </c>
      <c r="J54" s="32">
        <v>8.1</v>
      </c>
      <c r="K54" s="32">
        <v>8</v>
      </c>
      <c r="L54" s="32">
        <v>8</v>
      </c>
      <c r="M54" s="32">
        <v>7</v>
      </c>
      <c r="N54" s="32">
        <v>7.5</v>
      </c>
      <c r="O54" s="32">
        <v>7.5</v>
      </c>
      <c r="P54" s="32">
        <v>8</v>
      </c>
      <c r="Q54" s="32">
        <v>8</v>
      </c>
      <c r="R54" s="32">
        <v>8</v>
      </c>
      <c r="S54" s="32">
        <v>8</v>
      </c>
      <c r="T54" s="32">
        <v>8</v>
      </c>
      <c r="U54" s="32">
        <v>8</v>
      </c>
      <c r="V54" s="32">
        <v>8</v>
      </c>
      <c r="W54" s="32">
        <v>8</v>
      </c>
      <c r="X54" s="32">
        <v>8</v>
      </c>
      <c r="Y54" s="32">
        <v>8</v>
      </c>
      <c r="Z54" s="32">
        <v>8</v>
      </c>
      <c r="AA54" s="32">
        <v>8</v>
      </c>
      <c r="AB54" s="32">
        <v>8</v>
      </c>
    </row>
    <row r="55" spans="1:29" x14ac:dyDescent="0.2">
      <c r="A55" s="7" t="s">
        <v>138</v>
      </c>
      <c r="C55" s="32">
        <v>9.1999999999999993</v>
      </c>
      <c r="D55" s="32">
        <v>8.6</v>
      </c>
      <c r="E55" s="32">
        <v>14.1</v>
      </c>
      <c r="F55" s="32">
        <v>15.4</v>
      </c>
      <c r="G55" s="32">
        <v>15.9</v>
      </c>
      <c r="H55" s="32">
        <v>16.8</v>
      </c>
      <c r="I55" s="32">
        <v>16.8</v>
      </c>
      <c r="J55" s="32">
        <v>16</v>
      </c>
      <c r="K55" s="32">
        <v>4.7</v>
      </c>
      <c r="L55" s="32">
        <v>6</v>
      </c>
      <c r="M55" s="32">
        <v>8.8000000000000007</v>
      </c>
      <c r="N55" s="32">
        <v>10.5</v>
      </c>
      <c r="O55" s="32">
        <v>8.6999999999999993</v>
      </c>
      <c r="P55" s="32">
        <v>7.6</v>
      </c>
      <c r="Q55" s="32">
        <v>7.6</v>
      </c>
      <c r="R55" s="32">
        <v>0.2</v>
      </c>
      <c r="S55" s="32">
        <v>4</v>
      </c>
      <c r="T55" s="32">
        <v>4.4000000000000004</v>
      </c>
      <c r="U55" s="32">
        <v>4.4000000000000004</v>
      </c>
      <c r="V55" s="32">
        <v>4.4000000000000004</v>
      </c>
      <c r="W55" s="32">
        <v>4.4000000000000004</v>
      </c>
      <c r="X55" s="32">
        <v>4.4000000000000004</v>
      </c>
      <c r="Y55" s="32">
        <v>4.4000000000000004</v>
      </c>
      <c r="Z55" s="32">
        <v>4.4000000000000004</v>
      </c>
      <c r="AA55" s="32">
        <v>4.4000000000000004</v>
      </c>
      <c r="AB55" s="32">
        <v>4.4000000000000004</v>
      </c>
    </row>
    <row r="56" spans="1:29" x14ac:dyDescent="0.2">
      <c r="A56" s="7" t="s">
        <v>146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0.5</v>
      </c>
      <c r="O56" s="32">
        <v>1.3</v>
      </c>
      <c r="P56" s="32">
        <v>1.4</v>
      </c>
      <c r="Q56" s="32">
        <v>1.5</v>
      </c>
      <c r="R56" s="32">
        <v>2.4</v>
      </c>
      <c r="S56" s="32">
        <v>4.4000000000000004</v>
      </c>
      <c r="T56" s="32">
        <v>5</v>
      </c>
      <c r="U56" s="32">
        <v>6</v>
      </c>
      <c r="V56" s="32">
        <v>7</v>
      </c>
      <c r="W56" s="32">
        <v>8.5</v>
      </c>
      <c r="X56" s="32">
        <v>10</v>
      </c>
      <c r="Y56" s="32">
        <v>10</v>
      </c>
      <c r="Z56" s="32">
        <v>10</v>
      </c>
      <c r="AA56" s="32">
        <v>10</v>
      </c>
      <c r="AB56" s="32">
        <v>10</v>
      </c>
    </row>
    <row r="57" spans="1:29" x14ac:dyDescent="0.2">
      <c r="A57" s="7" t="s">
        <v>139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0.5</v>
      </c>
      <c r="O57" s="32">
        <v>0.8</v>
      </c>
      <c r="P57" s="32">
        <v>0</v>
      </c>
      <c r="Q57" s="32">
        <v>0</v>
      </c>
      <c r="R57" s="32">
        <v>1.2</v>
      </c>
      <c r="S57" s="32">
        <v>2.2999999999999998</v>
      </c>
      <c r="T57" s="32">
        <v>2.5</v>
      </c>
      <c r="U57" s="32">
        <v>2.7</v>
      </c>
      <c r="V57" s="32">
        <v>3</v>
      </c>
      <c r="W57" s="32">
        <v>3</v>
      </c>
      <c r="X57" s="32">
        <v>3</v>
      </c>
      <c r="Y57" s="32">
        <v>3</v>
      </c>
      <c r="Z57" s="32">
        <v>3</v>
      </c>
      <c r="AA57" s="32">
        <v>3</v>
      </c>
      <c r="AB57" s="32">
        <v>3</v>
      </c>
    </row>
    <row r="58" spans="1:29" x14ac:dyDescent="0.2">
      <c r="A58" s="7" t="s">
        <v>140</v>
      </c>
      <c r="C58" s="32">
        <v>6</v>
      </c>
      <c r="D58" s="32">
        <v>6</v>
      </c>
      <c r="E58" s="32">
        <v>6.3</v>
      </c>
      <c r="F58" s="32">
        <v>6.7</v>
      </c>
      <c r="G58" s="32">
        <v>8.6999999999999993</v>
      </c>
      <c r="H58" s="32">
        <v>9.6999999999999993</v>
      </c>
      <c r="I58" s="32">
        <v>9</v>
      </c>
      <c r="J58" s="32">
        <v>7</v>
      </c>
      <c r="K58" s="32">
        <v>6</v>
      </c>
      <c r="L58" s="32">
        <v>7</v>
      </c>
      <c r="M58" s="32">
        <v>7</v>
      </c>
      <c r="N58" s="32">
        <v>7</v>
      </c>
      <c r="O58" s="32">
        <v>6.5</v>
      </c>
      <c r="P58" s="32">
        <v>6</v>
      </c>
      <c r="Q58" s="32">
        <v>7</v>
      </c>
      <c r="R58" s="32">
        <v>7.5</v>
      </c>
      <c r="S58" s="32">
        <v>5.5</v>
      </c>
      <c r="T58" s="32">
        <v>3</v>
      </c>
      <c r="U58" s="32">
        <v>1</v>
      </c>
      <c r="V58" s="32">
        <v>0.5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v>0</v>
      </c>
    </row>
    <row r="59" spans="1:29" x14ac:dyDescent="0.2">
      <c r="A59" s="7" t="s">
        <v>141</v>
      </c>
      <c r="C59" s="32">
        <v>0</v>
      </c>
      <c r="D59" s="32">
        <v>0</v>
      </c>
      <c r="E59" s="32">
        <v>0.1</v>
      </c>
      <c r="F59" s="32">
        <v>3.3</v>
      </c>
      <c r="G59" s="32">
        <v>3.8</v>
      </c>
      <c r="H59" s="32">
        <v>1.6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2.4</v>
      </c>
      <c r="O59" s="32">
        <v>2.4</v>
      </c>
      <c r="P59" s="32">
        <v>2.4</v>
      </c>
      <c r="Q59" s="32">
        <v>2.4</v>
      </c>
      <c r="R59" s="32">
        <v>2.4</v>
      </c>
      <c r="S59" s="32">
        <v>3</v>
      </c>
      <c r="T59" s="32">
        <v>3</v>
      </c>
      <c r="U59" s="32">
        <v>3</v>
      </c>
      <c r="V59" s="32">
        <v>3</v>
      </c>
      <c r="W59" s="32">
        <v>3</v>
      </c>
      <c r="X59" s="32">
        <v>3</v>
      </c>
      <c r="Y59" s="32">
        <v>3</v>
      </c>
      <c r="Z59" s="32">
        <v>3</v>
      </c>
      <c r="AA59" s="32">
        <v>3</v>
      </c>
      <c r="AB59" s="32">
        <v>3</v>
      </c>
    </row>
    <row r="60" spans="1:29" x14ac:dyDescent="0.2">
      <c r="A60" s="7" t="s">
        <v>142</v>
      </c>
      <c r="C60" s="32">
        <v>0.1</v>
      </c>
      <c r="D60" s="32">
        <v>1.2</v>
      </c>
      <c r="E60" s="32">
        <v>1.7</v>
      </c>
      <c r="F60" s="32">
        <v>1.7</v>
      </c>
      <c r="G60" s="32">
        <v>0.9</v>
      </c>
      <c r="H60" s="32">
        <v>0</v>
      </c>
      <c r="I60" s="32">
        <v>0.9</v>
      </c>
      <c r="J60" s="32">
        <v>1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3"/>
    </row>
    <row r="61" spans="1:29" x14ac:dyDescent="0.2">
      <c r="A61" s="7" t="s">
        <v>143</v>
      </c>
      <c r="C61" s="32">
        <v>0</v>
      </c>
      <c r="D61" s="32">
        <v>0</v>
      </c>
      <c r="E61" s="32">
        <v>0</v>
      </c>
      <c r="F61" s="32">
        <v>0</v>
      </c>
      <c r="G61" s="32">
        <v>0.8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0.2</v>
      </c>
      <c r="N61" s="32">
        <v>1.1000000000000001</v>
      </c>
      <c r="O61" s="32">
        <v>0</v>
      </c>
      <c r="P61" s="32">
        <v>0</v>
      </c>
      <c r="Q61" s="32">
        <v>0</v>
      </c>
      <c r="R61" s="32">
        <v>1.1000000000000001</v>
      </c>
      <c r="S61" s="32">
        <v>0.3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3"/>
    </row>
    <row r="62" spans="1:29" x14ac:dyDescent="0.2">
      <c r="A62" s="7" t="s">
        <v>144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0.8</v>
      </c>
      <c r="T62" s="32">
        <v>1</v>
      </c>
      <c r="U62" s="32">
        <v>1</v>
      </c>
      <c r="V62" s="32">
        <v>0.8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</row>
    <row r="63" spans="1:29" x14ac:dyDescent="0.2">
      <c r="A63" s="7" t="s">
        <v>145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0.3</v>
      </c>
      <c r="T63" s="32">
        <v>1.2</v>
      </c>
      <c r="U63" s="32">
        <v>1.2</v>
      </c>
      <c r="V63" s="32">
        <v>0.9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</row>
    <row r="64" spans="1:29" x14ac:dyDescent="0.2">
      <c r="A64" s="7" t="s">
        <v>286</v>
      </c>
      <c r="C64" s="32">
        <v>15.1</v>
      </c>
      <c r="D64" s="32">
        <v>14.8</v>
      </c>
      <c r="E64" s="32">
        <v>15</v>
      </c>
      <c r="F64" s="32">
        <v>18</v>
      </c>
      <c r="G64" s="32">
        <v>23.3</v>
      </c>
      <c r="H64" s="32">
        <v>25.9</v>
      </c>
      <c r="I64" s="32">
        <v>25.4</v>
      </c>
      <c r="J64" s="32">
        <v>25.7</v>
      </c>
      <c r="K64" s="32">
        <v>22.5</v>
      </c>
      <c r="L64" s="32">
        <v>25.9</v>
      </c>
      <c r="M64" s="32">
        <v>23.2</v>
      </c>
      <c r="N64" s="32">
        <v>22.2</v>
      </c>
      <c r="O64" s="32">
        <v>25</v>
      </c>
      <c r="P64" s="32">
        <v>26</v>
      </c>
      <c r="Q64" s="32">
        <v>26.4</v>
      </c>
      <c r="R64" s="32">
        <v>26.3</v>
      </c>
      <c r="S64" s="32">
        <v>26</v>
      </c>
      <c r="T64" s="32">
        <v>26</v>
      </c>
      <c r="U64" s="32">
        <v>26</v>
      </c>
      <c r="V64" s="32">
        <v>26</v>
      </c>
      <c r="W64" s="32">
        <v>26</v>
      </c>
      <c r="X64" s="32">
        <v>26</v>
      </c>
      <c r="Y64" s="32">
        <v>26</v>
      </c>
      <c r="Z64" s="32">
        <v>26</v>
      </c>
      <c r="AA64" s="32">
        <v>26</v>
      </c>
      <c r="AB64" s="32">
        <v>26</v>
      </c>
    </row>
    <row r="65" spans="1:28" x14ac:dyDescent="0.2">
      <c r="A65" s="7" t="s">
        <v>289</v>
      </c>
      <c r="C65" s="32">
        <v>10</v>
      </c>
      <c r="D65" s="32">
        <v>8.6999999999999993</v>
      </c>
      <c r="E65" s="32">
        <v>11.6</v>
      </c>
      <c r="F65" s="32">
        <v>12.4</v>
      </c>
      <c r="G65" s="32">
        <v>13.6</v>
      </c>
      <c r="H65" s="32">
        <v>13.5</v>
      </c>
      <c r="I65" s="32">
        <v>14</v>
      </c>
      <c r="J65" s="32">
        <v>14</v>
      </c>
      <c r="K65" s="32">
        <v>14.3</v>
      </c>
      <c r="L65" s="32">
        <v>14.4</v>
      </c>
      <c r="M65" s="32">
        <v>12.3</v>
      </c>
      <c r="N65" s="32">
        <v>13.3</v>
      </c>
      <c r="O65" s="32">
        <v>13.1</v>
      </c>
      <c r="P65" s="32">
        <v>12</v>
      </c>
      <c r="Q65" s="32">
        <v>12.2</v>
      </c>
      <c r="R65" s="32">
        <v>11.8</v>
      </c>
      <c r="S65" s="32">
        <v>12.3</v>
      </c>
      <c r="T65" s="32">
        <v>12.7</v>
      </c>
      <c r="U65" s="32">
        <v>13</v>
      </c>
      <c r="V65" s="32">
        <v>13.5</v>
      </c>
      <c r="W65" s="32">
        <v>14</v>
      </c>
      <c r="X65" s="32">
        <v>14</v>
      </c>
      <c r="Y65" s="32">
        <v>14</v>
      </c>
      <c r="Z65" s="32">
        <v>14</v>
      </c>
      <c r="AA65" s="32">
        <v>14</v>
      </c>
      <c r="AB65" s="32">
        <v>14</v>
      </c>
    </row>
    <row r="66" spans="1:28" x14ac:dyDescent="0.2">
      <c r="A66" s="7" t="s">
        <v>292</v>
      </c>
      <c r="C66" s="32">
        <v>0</v>
      </c>
      <c r="D66" s="32">
        <v>1.2</v>
      </c>
      <c r="E66" s="32">
        <v>1</v>
      </c>
      <c r="F66" s="32">
        <v>4.5</v>
      </c>
      <c r="G66" s="32">
        <v>4.9000000000000004</v>
      </c>
      <c r="H66" s="32">
        <v>4.3</v>
      </c>
      <c r="I66" s="32">
        <v>2.1</v>
      </c>
      <c r="J66" s="32">
        <v>2.2000000000000002</v>
      </c>
      <c r="K66" s="32">
        <v>4.5999999999999996</v>
      </c>
      <c r="L66" s="32">
        <v>4.4000000000000004</v>
      </c>
      <c r="M66" s="32">
        <v>4.9000000000000004</v>
      </c>
      <c r="N66" s="32">
        <v>5</v>
      </c>
      <c r="O66" s="32">
        <v>5</v>
      </c>
      <c r="P66" s="32">
        <v>5</v>
      </c>
      <c r="Q66" s="32">
        <v>3.8</v>
      </c>
      <c r="R66" s="32">
        <v>10</v>
      </c>
      <c r="S66" s="32">
        <v>18.5</v>
      </c>
      <c r="T66" s="32">
        <v>20</v>
      </c>
      <c r="U66" s="32">
        <v>20</v>
      </c>
      <c r="V66" s="32">
        <v>20</v>
      </c>
      <c r="W66" s="32">
        <v>20</v>
      </c>
      <c r="X66" s="32">
        <v>20</v>
      </c>
      <c r="Y66" s="32">
        <v>20</v>
      </c>
      <c r="Z66" s="32">
        <v>20</v>
      </c>
      <c r="AA66" s="32">
        <v>20</v>
      </c>
      <c r="AB66" s="32">
        <v>20</v>
      </c>
    </row>
    <row r="67" spans="1:28" x14ac:dyDescent="0.2">
      <c r="A67" s="7" t="s">
        <v>298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0.9</v>
      </c>
      <c r="I67" s="32">
        <v>2.6</v>
      </c>
      <c r="J67" s="32">
        <v>4.0999999999999996</v>
      </c>
      <c r="K67" s="32">
        <v>5.0999999999999996</v>
      </c>
      <c r="L67" s="32">
        <v>5.9</v>
      </c>
      <c r="M67" s="32">
        <v>5.5</v>
      </c>
      <c r="N67" s="32">
        <v>5.6</v>
      </c>
      <c r="O67" s="32">
        <v>5.7</v>
      </c>
      <c r="P67" s="32">
        <v>6</v>
      </c>
      <c r="Q67" s="32">
        <v>6.1</v>
      </c>
      <c r="R67" s="32">
        <v>6</v>
      </c>
      <c r="S67" s="32">
        <v>6</v>
      </c>
      <c r="T67" s="32">
        <v>6</v>
      </c>
      <c r="U67" s="32">
        <v>6</v>
      </c>
      <c r="V67" s="32">
        <v>8</v>
      </c>
      <c r="W67" s="32">
        <v>14</v>
      </c>
      <c r="X67" s="32">
        <v>18</v>
      </c>
      <c r="Y67" s="32">
        <v>22</v>
      </c>
      <c r="Z67" s="32">
        <v>22</v>
      </c>
      <c r="AA67" s="32">
        <v>22</v>
      </c>
      <c r="AB67" s="32">
        <v>22</v>
      </c>
    </row>
    <row r="68" spans="1:28" x14ac:dyDescent="0.2">
      <c r="A68" s="7" t="s">
        <v>301</v>
      </c>
      <c r="C68" s="32">
        <v>2.7</v>
      </c>
      <c r="D68" s="32">
        <v>2.7</v>
      </c>
      <c r="E68" s="32">
        <v>2.7</v>
      </c>
      <c r="F68" s="32">
        <v>2.7</v>
      </c>
      <c r="G68" s="32">
        <v>1.1000000000000001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2.4</v>
      </c>
      <c r="N68" s="32">
        <v>2.2999999999999998</v>
      </c>
      <c r="O68" s="32">
        <v>3.4</v>
      </c>
      <c r="P68" s="32">
        <v>3.6</v>
      </c>
      <c r="Q68" s="32">
        <v>4</v>
      </c>
      <c r="R68" s="32">
        <v>4</v>
      </c>
      <c r="S68" s="32">
        <v>4.2</v>
      </c>
      <c r="T68" s="32">
        <v>4.5</v>
      </c>
      <c r="U68" s="32">
        <v>5.3</v>
      </c>
      <c r="V68" s="32">
        <v>5.8</v>
      </c>
      <c r="W68" s="32">
        <v>6</v>
      </c>
      <c r="X68" s="32">
        <v>6</v>
      </c>
      <c r="Y68" s="32">
        <v>6</v>
      </c>
      <c r="Z68" s="32">
        <v>6</v>
      </c>
      <c r="AA68" s="32">
        <v>6</v>
      </c>
      <c r="AB68" s="32">
        <v>6</v>
      </c>
    </row>
    <row r="69" spans="1:28" x14ac:dyDescent="0.2">
      <c r="A69" s="7" t="s">
        <v>303</v>
      </c>
      <c r="C69" s="32">
        <v>0</v>
      </c>
      <c r="D69" s="32">
        <v>0</v>
      </c>
      <c r="E69" s="32">
        <v>0</v>
      </c>
      <c r="F69" s="32">
        <v>0</v>
      </c>
      <c r="G69" s="32">
        <v>0.2</v>
      </c>
      <c r="H69" s="32">
        <v>1.2</v>
      </c>
      <c r="I69" s="32">
        <v>1.2</v>
      </c>
      <c r="J69" s="32">
        <v>1.2</v>
      </c>
      <c r="K69" s="32">
        <v>2.2000000000000002</v>
      </c>
      <c r="L69" s="32">
        <v>2.1</v>
      </c>
      <c r="M69" s="32">
        <v>2.4</v>
      </c>
      <c r="N69" s="32">
        <v>2.5</v>
      </c>
      <c r="O69" s="32">
        <v>2.6</v>
      </c>
      <c r="P69" s="32">
        <v>3.1</v>
      </c>
      <c r="Q69" s="32">
        <v>3</v>
      </c>
      <c r="R69" s="32">
        <v>3</v>
      </c>
      <c r="S69" s="32">
        <v>3</v>
      </c>
      <c r="T69" s="32">
        <v>3</v>
      </c>
      <c r="U69" s="32">
        <v>3</v>
      </c>
      <c r="V69" s="32">
        <v>3</v>
      </c>
      <c r="W69" s="32">
        <v>3</v>
      </c>
      <c r="X69" s="32">
        <v>3</v>
      </c>
      <c r="Y69" s="32">
        <v>3</v>
      </c>
      <c r="Z69" s="32">
        <v>3</v>
      </c>
      <c r="AA69" s="32">
        <v>3</v>
      </c>
      <c r="AB69" s="32">
        <v>3</v>
      </c>
    </row>
    <row r="70" spans="1:28" x14ac:dyDescent="0.2">
      <c r="A70" s="7" t="s">
        <v>305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1.9</v>
      </c>
      <c r="M70" s="32">
        <v>2.1</v>
      </c>
      <c r="N70" s="32">
        <v>2.2000000000000002</v>
      </c>
      <c r="O70" s="32">
        <v>2.2999999999999998</v>
      </c>
      <c r="P70" s="32">
        <v>2.2999999999999998</v>
      </c>
      <c r="Q70" s="32">
        <v>1.9</v>
      </c>
      <c r="R70" s="32">
        <v>1.9</v>
      </c>
      <c r="S70" s="32">
        <v>2</v>
      </c>
      <c r="T70" s="32">
        <v>2.1</v>
      </c>
      <c r="U70" s="32">
        <v>2.1</v>
      </c>
      <c r="V70" s="32">
        <v>2.1</v>
      </c>
      <c r="W70" s="32">
        <v>2.1</v>
      </c>
      <c r="X70" s="32">
        <v>2.1</v>
      </c>
      <c r="Y70" s="32">
        <v>2.1</v>
      </c>
      <c r="Z70" s="32">
        <v>2.1</v>
      </c>
      <c r="AA70" s="32">
        <v>2.1</v>
      </c>
      <c r="AB70" s="32">
        <v>2.1</v>
      </c>
    </row>
    <row r="71" spans="1:28" x14ac:dyDescent="0.2">
      <c r="A71" s="7" t="s">
        <v>309</v>
      </c>
      <c r="C71" s="32">
        <v>1</v>
      </c>
      <c r="D71" s="32">
        <v>1.1000000000000001</v>
      </c>
      <c r="E71" s="32">
        <v>1.3</v>
      </c>
      <c r="F71" s="32">
        <v>1.5</v>
      </c>
      <c r="G71" s="32">
        <v>1.5</v>
      </c>
      <c r="H71" s="32">
        <v>1.6</v>
      </c>
      <c r="I71" s="32">
        <v>1.6</v>
      </c>
      <c r="J71" s="32">
        <v>1.7</v>
      </c>
      <c r="K71" s="32">
        <v>1.8</v>
      </c>
      <c r="L71" s="32">
        <v>1.7</v>
      </c>
      <c r="M71" s="32">
        <v>1.6</v>
      </c>
      <c r="N71" s="32">
        <v>1.8</v>
      </c>
      <c r="O71" s="32">
        <v>1.8</v>
      </c>
      <c r="P71" s="32">
        <v>1.8</v>
      </c>
      <c r="Q71" s="32">
        <v>1.8</v>
      </c>
      <c r="R71" s="32">
        <v>1.8</v>
      </c>
      <c r="S71" s="32">
        <v>1.8</v>
      </c>
      <c r="T71" s="32">
        <v>1.8</v>
      </c>
      <c r="U71" s="32">
        <v>1.8</v>
      </c>
      <c r="V71" s="32">
        <v>1.8</v>
      </c>
      <c r="W71" s="32">
        <v>1.8</v>
      </c>
      <c r="X71" s="32">
        <v>1.8</v>
      </c>
      <c r="Y71" s="32">
        <v>1.8</v>
      </c>
      <c r="Z71" s="32">
        <v>1.8</v>
      </c>
      <c r="AA71" s="32">
        <v>1.8</v>
      </c>
      <c r="AB71" s="32">
        <v>1.8</v>
      </c>
    </row>
    <row r="72" spans="1:28" x14ac:dyDescent="0.2">
      <c r="A72" s="7" t="s">
        <v>313</v>
      </c>
      <c r="C72" s="32">
        <v>1.4</v>
      </c>
      <c r="D72" s="32">
        <v>1.5</v>
      </c>
      <c r="E72" s="32">
        <v>1.8</v>
      </c>
      <c r="F72" s="32">
        <v>2</v>
      </c>
      <c r="G72" s="32">
        <v>2.2000000000000002</v>
      </c>
      <c r="H72" s="32">
        <v>1.8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0.5</v>
      </c>
      <c r="U72" s="32">
        <v>2</v>
      </c>
      <c r="V72" s="32">
        <v>2.5</v>
      </c>
      <c r="W72" s="32">
        <v>2.5</v>
      </c>
      <c r="X72" s="32">
        <v>3</v>
      </c>
      <c r="Y72" s="32">
        <v>3.3</v>
      </c>
      <c r="Z72" s="32">
        <v>3.3</v>
      </c>
      <c r="AA72" s="32">
        <v>3.3</v>
      </c>
      <c r="AB72" s="32">
        <v>3.3</v>
      </c>
    </row>
    <row r="73" spans="1:28" x14ac:dyDescent="0.2">
      <c r="A73" s="7" t="s">
        <v>328</v>
      </c>
      <c r="C73" s="32">
        <f>C74-SUM(C3:C72)</f>
        <v>204.89999999999986</v>
      </c>
      <c r="D73" s="32">
        <f t="shared" ref="D73:AA73" si="0">D74-SUM(D3:D72)</f>
        <v>215.60000000000002</v>
      </c>
      <c r="E73" s="32">
        <f t="shared" si="0"/>
        <v>203.29999999999995</v>
      </c>
      <c r="F73" s="32">
        <f t="shared" si="0"/>
        <v>239</v>
      </c>
      <c r="G73" s="32">
        <f t="shared" si="0"/>
        <v>235.099999999999</v>
      </c>
      <c r="H73" s="32">
        <f t="shared" si="0"/>
        <v>147.20000000000027</v>
      </c>
      <c r="I73" s="32">
        <f t="shared" si="0"/>
        <v>173.19999999999982</v>
      </c>
      <c r="J73" s="32">
        <f t="shared" si="0"/>
        <v>176.79999999999995</v>
      </c>
      <c r="K73" s="32">
        <f t="shared" si="0"/>
        <v>176.90000000000009</v>
      </c>
      <c r="L73" s="32">
        <f t="shared" si="0"/>
        <v>158.60000000000014</v>
      </c>
      <c r="M73" s="32">
        <f t="shared" si="0"/>
        <v>175.5</v>
      </c>
      <c r="N73" s="32">
        <f t="shared" si="0"/>
        <v>155.90000000000032</v>
      </c>
      <c r="O73" s="32">
        <f t="shared" si="0"/>
        <v>94.600000000000591</v>
      </c>
      <c r="P73" s="32">
        <f t="shared" si="0"/>
        <v>176.70000000000095</v>
      </c>
      <c r="Q73" s="32">
        <f t="shared" si="0"/>
        <v>168.10000000000036</v>
      </c>
      <c r="R73" s="32">
        <f t="shared" si="0"/>
        <v>155.60000000000036</v>
      </c>
      <c r="S73" s="32">
        <f t="shared" si="0"/>
        <v>121.70000000000027</v>
      </c>
      <c r="T73" s="32">
        <f t="shared" si="0"/>
        <v>87.7000000000005</v>
      </c>
      <c r="U73" s="32">
        <f t="shared" si="0"/>
        <v>36.600000000000364</v>
      </c>
      <c r="V73" s="32">
        <f t="shared" si="0"/>
        <v>30.800000000000182</v>
      </c>
      <c r="W73" s="32">
        <f t="shared" si="0"/>
        <v>33.600000000000364</v>
      </c>
      <c r="X73" s="32">
        <f t="shared" si="0"/>
        <v>50.200000000000045</v>
      </c>
      <c r="Y73" s="32">
        <f t="shared" si="0"/>
        <v>59.200000000000273</v>
      </c>
      <c r="Z73" s="32">
        <f t="shared" si="0"/>
        <v>72.900000000000091</v>
      </c>
      <c r="AA73" s="32">
        <f t="shared" si="0"/>
        <v>80.800000000000182</v>
      </c>
      <c r="AB73" s="32">
        <f>AB74-SUM(AB3:AB72)</f>
        <v>81.500000000000227</v>
      </c>
    </row>
    <row r="74" spans="1:28" x14ac:dyDescent="0.2">
      <c r="A74" s="9" t="s">
        <v>135</v>
      </c>
      <c r="C74" s="33">
        <v>1123.5999999999999</v>
      </c>
      <c r="D74" s="33">
        <v>1148.3</v>
      </c>
      <c r="E74" s="33">
        <v>1214</v>
      </c>
      <c r="F74" s="33">
        <v>1344</v>
      </c>
      <c r="G74" s="33">
        <v>1488.5</v>
      </c>
      <c r="H74" s="33">
        <v>1512</v>
      </c>
      <c r="I74" s="33">
        <v>1591.6</v>
      </c>
      <c r="J74" s="33">
        <v>1646.3</v>
      </c>
      <c r="K74" s="33">
        <v>1667.3</v>
      </c>
      <c r="L74" s="33">
        <v>1603.9</v>
      </c>
      <c r="M74" s="33">
        <v>1656.2</v>
      </c>
      <c r="N74" s="33">
        <v>1659.4</v>
      </c>
      <c r="O74" s="33">
        <v>1586.8</v>
      </c>
      <c r="P74" s="33">
        <v>1712</v>
      </c>
      <c r="Q74" s="33">
        <v>1740.5</v>
      </c>
      <c r="R74" s="33">
        <v>1761</v>
      </c>
      <c r="S74" s="33">
        <v>1789</v>
      </c>
      <c r="T74" s="33">
        <v>1844</v>
      </c>
      <c r="U74" s="33">
        <v>1891</v>
      </c>
      <c r="V74" s="33">
        <v>1931</v>
      </c>
      <c r="W74" s="33">
        <v>1950</v>
      </c>
      <c r="X74" s="33">
        <v>1965</v>
      </c>
      <c r="Y74" s="33">
        <v>1975</v>
      </c>
      <c r="Z74" s="33">
        <v>1985</v>
      </c>
      <c r="AA74" s="33">
        <v>1985</v>
      </c>
      <c r="AB74" s="33">
        <v>1980</v>
      </c>
    </row>
    <row r="81" spans="3:28" x14ac:dyDescent="0.2"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</sheetData>
  <pageMargins left="0.75" right="0.75" top="1" bottom="1" header="0.511811023622047" footer="0.511811023622047"/>
  <pageSetup paperSize="9" orientation="portrait" horizontalDpi="300" verticalDpi="300"/>
  <ignoredErrors>
    <ignoredError sqref="D73:AB73" formulaRange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B76"/>
  <sheetViews>
    <sheetView zoomScale="50" zoomScaleNormal="125" workbookViewId="0">
      <pane xSplit="2" ySplit="4" topLeftCell="C23" activePane="bottomRight" state="frozen"/>
      <selection pane="topRight" activeCell="C1" sqref="C1"/>
      <selection pane="bottomLeft" activeCell="A4" sqref="A4"/>
      <selection pane="bottomRight" activeCell="R53" sqref="R53"/>
    </sheetView>
  </sheetViews>
  <sheetFormatPr baseColWidth="10" defaultColWidth="8.6640625" defaultRowHeight="14" x14ac:dyDescent="0.2"/>
  <cols>
    <col min="1" max="1" width="46" style="7" customWidth="1"/>
    <col min="2" max="2" width="2.6640625" style="7" customWidth="1"/>
    <col min="3" max="28" width="8" style="7" customWidth="1"/>
    <col min="29" max="16384" width="8.6640625" style="7"/>
  </cols>
  <sheetData>
    <row r="1" spans="1:28" x14ac:dyDescent="0.2">
      <c r="A1" s="9" t="s">
        <v>332</v>
      </c>
    </row>
    <row r="2" spans="1:28" x14ac:dyDescent="0.2">
      <c r="A2" s="7" t="s">
        <v>390</v>
      </c>
    </row>
    <row r="3" spans="1:28" x14ac:dyDescent="0.2">
      <c r="A3" s="7" t="s">
        <v>331</v>
      </c>
      <c r="C3" s="11">
        <v>0.62</v>
      </c>
      <c r="D3" s="11">
        <v>0.62</v>
      </c>
      <c r="E3" s="11">
        <v>0.62</v>
      </c>
      <c r="F3" s="11">
        <v>0.62</v>
      </c>
      <c r="G3" s="11">
        <v>0.62</v>
      </c>
      <c r="H3" s="11">
        <v>0.62</v>
      </c>
      <c r="I3" s="11">
        <v>0.62</v>
      </c>
      <c r="J3" s="11">
        <v>0.62</v>
      </c>
      <c r="K3" s="11">
        <v>0.62</v>
      </c>
      <c r="L3" s="11">
        <v>0.62</v>
      </c>
      <c r="M3" s="11">
        <v>0.62</v>
      </c>
      <c r="N3" s="11">
        <v>0.62</v>
      </c>
      <c r="O3" s="11">
        <v>0.62</v>
      </c>
      <c r="P3" s="11">
        <v>0.62</v>
      </c>
      <c r="Q3" s="11">
        <v>0.62</v>
      </c>
      <c r="R3" s="11">
        <v>0.62</v>
      </c>
      <c r="S3" s="11">
        <v>0.61</v>
      </c>
      <c r="T3" s="11">
        <v>0.61</v>
      </c>
      <c r="U3" s="11">
        <v>0.61</v>
      </c>
      <c r="V3" s="11">
        <v>0.61</v>
      </c>
      <c r="W3" s="11">
        <v>0.61</v>
      </c>
      <c r="X3" s="11">
        <v>0.61</v>
      </c>
      <c r="Y3" s="11">
        <v>0.61</v>
      </c>
      <c r="Z3" s="11">
        <v>0.61</v>
      </c>
      <c r="AA3" s="11">
        <v>0.61</v>
      </c>
      <c r="AB3" s="11">
        <v>0.61</v>
      </c>
    </row>
    <row r="4" spans="1:28" x14ac:dyDescent="0.2">
      <c r="A4" s="30" t="s">
        <v>0</v>
      </c>
      <c r="C4" s="30">
        <v>2010</v>
      </c>
      <c r="D4" s="30">
        <v>2011</v>
      </c>
      <c r="E4" s="30">
        <v>2012</v>
      </c>
      <c r="F4" s="30">
        <v>2013</v>
      </c>
      <c r="G4" s="30">
        <v>2014</v>
      </c>
      <c r="H4" s="30">
        <v>2015</v>
      </c>
      <c r="I4" s="30">
        <v>2016</v>
      </c>
      <c r="J4" s="30">
        <v>2017</v>
      </c>
      <c r="K4" s="30">
        <v>2018</v>
      </c>
      <c r="L4" s="30">
        <v>2019</v>
      </c>
      <c r="M4" s="30">
        <v>2020</v>
      </c>
      <c r="N4" s="30">
        <v>2021</v>
      </c>
      <c r="O4" s="30">
        <v>2022</v>
      </c>
      <c r="P4" s="30">
        <v>2023</v>
      </c>
      <c r="Q4" s="30">
        <v>2024</v>
      </c>
      <c r="R4" s="30">
        <v>2025</v>
      </c>
      <c r="S4" s="30">
        <v>2026</v>
      </c>
      <c r="T4" s="30">
        <v>2027</v>
      </c>
      <c r="U4" s="30">
        <v>2028</v>
      </c>
      <c r="V4" s="30">
        <v>2029</v>
      </c>
      <c r="W4" s="30">
        <v>2030</v>
      </c>
      <c r="X4" s="30">
        <v>2031</v>
      </c>
      <c r="Y4" s="30">
        <v>2032</v>
      </c>
      <c r="Z4" s="30">
        <v>2033</v>
      </c>
      <c r="AA4" s="30">
        <v>2034</v>
      </c>
      <c r="AB4" s="30">
        <v>2035</v>
      </c>
    </row>
    <row r="5" spans="1:28" x14ac:dyDescent="0.2">
      <c r="A5" s="7" t="s">
        <v>64</v>
      </c>
      <c r="C5" s="32">
        <f>'Seaborne Supply'!C3*(1-Assumptions!$D3/100)*(Assumptions!$C3/100/'Benchmark-equivalent supply'!C$3)</f>
        <v>114.37499999999999</v>
      </c>
      <c r="D5" s="32">
        <f>'Seaborne Supply'!D3*(1-Assumptions!$D3/100)*(Assumptions!$C3/100/'Benchmark-equivalent supply'!D$3)</f>
        <v>122.976</v>
      </c>
      <c r="E5" s="32">
        <f>'Seaborne Supply'!E3*(1-Assumptions!$D3/100)*(Assumptions!$C3/100/'Benchmark-equivalent supply'!E$3)</f>
        <v>145.9425</v>
      </c>
      <c r="F5" s="32">
        <f>'Seaborne Supply'!F3*(1-Assumptions!$D3/100)*(Assumptions!$C3/100/'Benchmark-equivalent supply'!F$3)</f>
        <v>173.30099999999999</v>
      </c>
      <c r="G5" s="32">
        <f>'Seaborne Supply'!G3*(1-Assumptions!$D3/100)*(Assumptions!$C3/100/'Benchmark-equivalent supply'!G$3)</f>
        <v>204.411</v>
      </c>
      <c r="H5" s="32">
        <f>'Seaborne Supply'!H3*(1-Assumptions!$D3/100)*(Assumptions!$C3/100/'Benchmark-equivalent supply'!H$3)</f>
        <v>232.40999999999997</v>
      </c>
      <c r="I5" s="32">
        <f>'Seaborne Supply'!I3*(1-Assumptions!$D3/100)*(Assumptions!$C3/100/'Benchmark-equivalent supply'!I$3)</f>
        <v>235.155</v>
      </c>
      <c r="J5" s="32">
        <f>'Seaborne Supply'!J3*(1-Assumptions!$D3/100)*(Assumptions!$C3/100/'Benchmark-equivalent supply'!J$3)</f>
        <v>245.21999999999997</v>
      </c>
      <c r="K5" s="32">
        <f>'Seaborne Supply'!K3*(1-Assumptions!$D3/100)*(Assumptions!$C3/100/'Benchmark-equivalent supply'!K$3)</f>
        <v>251.62499999999997</v>
      </c>
      <c r="L5" s="32">
        <f>'Seaborne Supply'!L3*(1-Assumptions!$D3/100)*(Assumptions!$C3/100/'Benchmark-equivalent supply'!L$3)</f>
        <v>247.05</v>
      </c>
      <c r="M5" s="32">
        <f>'Seaborne Supply'!M3*(1-Assumptions!$D3/100)*(Assumptions!$C3/100/'Benchmark-equivalent supply'!M$3)</f>
        <v>260.77499999999998</v>
      </c>
      <c r="N5" s="32">
        <f>'Seaborne Supply'!N3*(1-Assumptions!$D3/100)*(Assumptions!$C3/100/'Benchmark-equivalent supply'!N$3)</f>
        <v>259.86</v>
      </c>
      <c r="O5" s="32">
        <f>'Seaborne Supply'!O3*(1-Assumptions!$D3/100)*(Assumptions!$C3/100/'Benchmark-equivalent supply'!O$3)</f>
        <v>259.86</v>
      </c>
      <c r="P5" s="32">
        <f>'Seaborne Supply'!P3*(1-Assumptions!$D3/100)*(Assumptions!$C3/100/'Benchmark-equivalent supply'!P$3)</f>
        <v>260.77499999999998</v>
      </c>
      <c r="Q5" s="32">
        <f>'Seaborne Supply'!Q3*(1-Assumptions!$D3/100)*(Assumptions!$C3/100/'Benchmark-equivalent supply'!Q$3)</f>
        <v>262.60499999999996</v>
      </c>
      <c r="R5" s="32">
        <f>'Seaborne Supply'!R3*(1-Assumptions!$D3/100)*(Assumptions!$C3/100/'Benchmark-equivalent supply'!R$3)</f>
        <v>265.34999999999997</v>
      </c>
      <c r="S5" s="32">
        <f>'Seaborne Supply'!S3*(1-Assumptions!$D3/100)*(Assumptions!$C3/100/'Benchmark-equivalent supply'!S$3)</f>
        <v>269.7</v>
      </c>
      <c r="T5" s="32">
        <f>'Seaborne Supply'!T3*(1-Assumptions!$D3/100)*(Assumptions!$C3/100/'Benchmark-equivalent supply'!T$3)</f>
        <v>271.56</v>
      </c>
      <c r="U5" s="32">
        <f>'Seaborne Supply'!U3*(1-Assumptions!$D3/100)*(Assumptions!$C3/100/'Benchmark-equivalent supply'!U$3)</f>
        <v>273.41999999999996</v>
      </c>
      <c r="V5" s="32">
        <f>'Seaborne Supply'!V3*(1-Assumptions!$D3/100)*(Assumptions!$C3/100/'Benchmark-equivalent supply'!V$3)</f>
        <v>275.27999999999997</v>
      </c>
      <c r="W5" s="32">
        <f>'Seaborne Supply'!W3*(1-Assumptions!$D3/100)*(Assumptions!$C3/100/'Benchmark-equivalent supply'!W$3)</f>
        <v>276.20999999999998</v>
      </c>
      <c r="X5" s="32">
        <f>'Seaborne Supply'!X3*(1-Assumptions!$D3/100)*(Assumptions!$C3/100/'Benchmark-equivalent supply'!X$3)</f>
        <v>277.14</v>
      </c>
      <c r="Y5" s="32">
        <f>'Seaborne Supply'!Y3*(1-Assumptions!$D3/100)*(Assumptions!$C3/100/'Benchmark-equivalent supply'!Y$3)</f>
        <v>277.14</v>
      </c>
      <c r="Z5" s="32">
        <f>'Seaborne Supply'!Z3*(1-Assumptions!$D3/100)*(Assumptions!$C3/100/'Benchmark-equivalent supply'!Z$3)</f>
        <v>277.14</v>
      </c>
      <c r="AA5" s="32">
        <f>'Seaborne Supply'!AA3*(1-Assumptions!$D3/100)*(Assumptions!$C3/100/'Benchmark-equivalent supply'!AA$3)</f>
        <v>276.20999999999998</v>
      </c>
      <c r="AB5" s="32">
        <f>'Seaborne Supply'!AB3*(1-Assumptions!$D3/100)*(Assumptions!$C3/100/'Benchmark-equivalent supply'!AB$3)</f>
        <v>275.27999999999997</v>
      </c>
    </row>
    <row r="6" spans="1:28" x14ac:dyDescent="0.2">
      <c r="A6" s="7" t="s">
        <v>65</v>
      </c>
      <c r="C6" s="32">
        <f>'Seaborne Supply'!C4*(1-Assumptions!$D4/100)*(Assumptions!$C4/100/'Benchmark-equivalent supply'!C$3)</f>
        <v>203.10239999999996</v>
      </c>
      <c r="D6" s="32">
        <f>'Seaborne Supply'!D4*(1-Assumptions!$D4/100)*(Assumptions!$C4/100/'Benchmark-equivalent supply'!D$3)</f>
        <v>205.56479999999996</v>
      </c>
      <c r="E6" s="32">
        <f>'Seaborne Supply'!E4*(1-Assumptions!$D4/100)*(Assumptions!$C4/100/'Benchmark-equivalent supply'!E$3)</f>
        <v>218.33279999999999</v>
      </c>
      <c r="F6" s="32">
        <f>'Seaborne Supply'!F4*(1-Assumptions!$D4/100)*(Assumptions!$C4/100/'Benchmark-equivalent supply'!F$3)</f>
        <v>228.45599999999996</v>
      </c>
      <c r="G6" s="32">
        <f>'Seaborne Supply'!G4*(1-Assumptions!$D4/100)*(Assumptions!$C4/100/'Benchmark-equivalent supply'!G$3)</f>
        <v>255.90720000000002</v>
      </c>
      <c r="H6" s="32">
        <f>'Seaborne Supply'!H4*(1-Assumptions!$D4/100)*(Assumptions!$C4/100/'Benchmark-equivalent supply'!H$3)</f>
        <v>282.6287999999999</v>
      </c>
      <c r="I6" s="32">
        <f>'Seaborne Supply'!I4*(1-Assumptions!$D4/100)*(Assumptions!$C4/100/'Benchmark-equivalent supply'!I$3)</f>
        <v>298.77119999999996</v>
      </c>
      <c r="J6" s="32">
        <f>'Seaborne Supply'!J4*(1-Assumptions!$D4/100)*(Assumptions!$C4/100/'Benchmark-equivalent supply'!J$3)</f>
        <v>301.05119999999999</v>
      </c>
      <c r="K6" s="32">
        <f>'Seaborne Supply'!K4*(1-Assumptions!$D4/100)*(Assumptions!$C4/100/'Benchmark-equivalent supply'!K$3)</f>
        <v>308.43839999999994</v>
      </c>
      <c r="L6" s="32">
        <f>'Seaborne Supply'!L4*(1-Assumptions!$D4/100)*(Assumptions!$C4/100/'Benchmark-equivalent supply'!L$3)</f>
        <v>298.58879999999994</v>
      </c>
      <c r="M6" s="32">
        <f>'Seaborne Supply'!M4*(1-Assumptions!$D4/100)*(Assumptions!$C4/100/'Benchmark-equivalent supply'!M$3)</f>
        <v>301.50720000000001</v>
      </c>
      <c r="N6" s="32">
        <f>'Seaborne Supply'!N4*(1-Assumptions!$D4/100)*(Assumptions!$C4/100/'Benchmark-equivalent supply'!N$3)</f>
        <v>293.29919999999998</v>
      </c>
      <c r="O6" s="32">
        <f>'Seaborne Supply'!O4*(1-Assumptions!$D4/100)*(Assumptions!$C4/100/'Benchmark-equivalent supply'!O$3)</f>
        <v>293.29919999999998</v>
      </c>
      <c r="P6" s="32">
        <f>'Seaborne Supply'!P4*(1-Assumptions!$D4/100)*(Assumptions!$C4/100/'Benchmark-equivalent supply'!P$3)</f>
        <v>302.60160000000002</v>
      </c>
      <c r="Q6" s="32">
        <f>'Seaborne Supply'!Q4*(1-Assumptions!$D4/100)*(Assumptions!$C4/100/'Benchmark-equivalent supply'!Q$3)</f>
        <v>299.6832</v>
      </c>
      <c r="R6" s="32">
        <f>'Seaborne Supply'!R4*(1-Assumptions!$D4/100)*(Assumptions!$C4/100/'Benchmark-equivalent supply'!R$3)</f>
        <v>297.49439999999998</v>
      </c>
      <c r="S6" s="32">
        <f>'Seaborne Supply'!S4*(1-Assumptions!$D4/100)*(Assumptions!$C4/100/'Benchmark-equivalent supply'!S$3)</f>
        <v>304.96681967213112</v>
      </c>
      <c r="T6" s="32">
        <f>'Seaborne Supply'!T4*(1-Assumptions!$D4/100)*(Assumptions!$C4/100/'Benchmark-equivalent supply'!T$3)</f>
        <v>306.82072131147538</v>
      </c>
      <c r="U6" s="32">
        <f>'Seaborne Supply'!U4*(1-Assumptions!$D4/100)*(Assumptions!$C4/100/'Benchmark-equivalent supply'!U$3)</f>
        <v>307.74767213114757</v>
      </c>
      <c r="V6" s="32">
        <f>'Seaborne Supply'!V4*(1-Assumptions!$D4/100)*(Assumptions!$C4/100/'Benchmark-equivalent supply'!V$3)</f>
        <v>308.6746229508197</v>
      </c>
      <c r="W6" s="32">
        <f>'Seaborne Supply'!W4*(1-Assumptions!$D4/100)*(Assumptions!$C4/100/'Benchmark-equivalent supply'!W$3)</f>
        <v>308.6746229508197</v>
      </c>
      <c r="X6" s="32">
        <f>'Seaborne Supply'!X4*(1-Assumptions!$D4/100)*(Assumptions!$C4/100/'Benchmark-equivalent supply'!X$3)</f>
        <v>308.6746229508197</v>
      </c>
      <c r="Y6" s="32">
        <f>'Seaborne Supply'!Y4*(1-Assumptions!$D4/100)*(Assumptions!$C4/100/'Benchmark-equivalent supply'!Y$3)</f>
        <v>307.74767213114757</v>
      </c>
      <c r="Z6" s="32">
        <f>'Seaborne Supply'!Z4*(1-Assumptions!$D4/100)*(Assumptions!$C4/100/'Benchmark-equivalent supply'!Z$3)</f>
        <v>306.82072131147538</v>
      </c>
      <c r="AA6" s="32">
        <f>'Seaborne Supply'!AA4*(1-Assumptions!$D4/100)*(Assumptions!$C4/100/'Benchmark-equivalent supply'!AA$3)</f>
        <v>305.89377049180325</v>
      </c>
      <c r="AB6" s="32">
        <f>'Seaborne Supply'!AB4*(1-Assumptions!$D4/100)*(Assumptions!$C4/100/'Benchmark-equivalent supply'!AB$3)</f>
        <v>304.96681967213112</v>
      </c>
    </row>
    <row r="7" spans="1:28" x14ac:dyDescent="0.2">
      <c r="A7" s="7" t="s">
        <v>66</v>
      </c>
      <c r="C7" s="32">
        <f>'Seaborne Supply'!C5*(1-Assumptions!$D5/100)*(Assumptions!$C5/100/'Benchmark-equivalent supply'!C$3)</f>
        <v>34.356774193548389</v>
      </c>
      <c r="D7" s="32">
        <f>'Seaborne Supply'!D5*(1-Assumptions!$D5/100)*(Assumptions!$C5/100/'Benchmark-equivalent supply'!D$3)</f>
        <v>35.129801612903229</v>
      </c>
      <c r="E7" s="32">
        <f>'Seaborne Supply'!E5*(1-Assumptions!$D5/100)*(Assumptions!$C5/100/'Benchmark-equivalent supply'!E$3)</f>
        <v>49.387862903225816</v>
      </c>
      <c r="F7" s="32">
        <f>'Seaborne Supply'!F5*(1-Assumptions!$D5/100)*(Assumptions!$C5/100/'Benchmark-equivalent supply'!F$3)</f>
        <v>69.48657580645164</v>
      </c>
      <c r="G7" s="32">
        <f>'Seaborne Supply'!G5*(1-Assumptions!$D5/100)*(Assumptions!$C5/100/'Benchmark-equivalent supply'!G$3)</f>
        <v>106.67778387096776</v>
      </c>
      <c r="H7" s="32">
        <f>'Seaborne Supply'!H5*(1-Assumptions!$D5/100)*(Assumptions!$C5/100/'Benchmark-equivalent supply'!H$3)</f>
        <v>142.06526129032261</v>
      </c>
      <c r="I7" s="32">
        <f>'Seaborne Supply'!I5*(1-Assumptions!$D5/100)*(Assumptions!$C5/100/'Benchmark-equivalent supply'!I$3)</f>
        <v>145.50093870967746</v>
      </c>
      <c r="J7" s="32">
        <f>'Seaborne Supply'!J5*(1-Assumptions!$D5/100)*(Assumptions!$C5/100/'Benchmark-equivalent supply'!J$3)</f>
        <v>146.35985806451617</v>
      </c>
      <c r="K7" s="32">
        <f>'Seaborne Supply'!K5*(1-Assumptions!$D5/100)*(Assumptions!$C5/100/'Benchmark-equivalent supply'!K$3)</f>
        <v>146.01629032258069</v>
      </c>
      <c r="L7" s="32">
        <f>'Seaborne Supply'!L5*(1-Assumptions!$D5/100)*(Assumptions!$C5/100/'Benchmark-equivalent supply'!L$3)</f>
        <v>144.04077580645162</v>
      </c>
      <c r="M7" s="32">
        <f>'Seaborne Supply'!M5*(1-Assumptions!$D5/100)*(Assumptions!$C5/100/'Benchmark-equivalent supply'!M$3)</f>
        <v>153.05942903225809</v>
      </c>
      <c r="N7" s="32">
        <f>'Seaborne Supply'!N5*(1-Assumptions!$D5/100)*(Assumptions!$C5/100/'Benchmark-equivalent supply'!N$3)</f>
        <v>156.49510645161291</v>
      </c>
      <c r="O7" s="32">
        <f>'Seaborne Supply'!O5*(1-Assumptions!$D5/100)*(Assumptions!$C5/100/'Benchmark-equivalent supply'!O$3)</f>
        <v>162.07808225806451</v>
      </c>
      <c r="P7" s="32">
        <f>'Seaborne Supply'!P5*(1-Assumptions!$D5/100)*(Assumptions!$C5/100/'Benchmark-equivalent supply'!P$3)</f>
        <v>164.74073225806455</v>
      </c>
      <c r="Q7" s="32">
        <f>'Seaborne Supply'!Q5*(1-Assumptions!$D5/100)*(Assumptions!$C5/100/'Benchmark-equivalent supply'!Q$3)</f>
        <v>160.36024354838713</v>
      </c>
      <c r="R7" s="32">
        <f>'Seaborne Supply'!R5*(1-Assumptions!$D5/100)*(Assumptions!$C5/100/'Benchmark-equivalent supply'!R$3)</f>
        <v>164.31127258064518</v>
      </c>
      <c r="S7" s="32">
        <f>'Seaborne Supply'!S5*(1-Assumptions!$D5/100)*(Assumptions!$C5/100/'Benchmark-equivalent supply'!S$3)</f>
        <v>167.61600000000004</v>
      </c>
      <c r="T7" s="32">
        <f>'Seaborne Supply'!T5*(1-Assumptions!$D5/100)*(Assumptions!$C5/100/'Benchmark-equivalent supply'!T$3)</f>
        <v>166.74300000000002</v>
      </c>
      <c r="U7" s="32">
        <f>'Seaborne Supply'!U5*(1-Assumptions!$D5/100)*(Assumptions!$C5/100/'Benchmark-equivalent supply'!U$3)</f>
        <v>165.87</v>
      </c>
      <c r="V7" s="32">
        <f>'Seaborne Supply'!V5*(1-Assumptions!$D5/100)*(Assumptions!$C5/100/'Benchmark-equivalent supply'!V$3)</f>
        <v>165.87</v>
      </c>
      <c r="W7" s="32">
        <f>'Seaborne Supply'!W5*(1-Assumptions!$D5/100)*(Assumptions!$C5/100/'Benchmark-equivalent supply'!W$3)</f>
        <v>165.87</v>
      </c>
      <c r="X7" s="32">
        <f>'Seaborne Supply'!X5*(1-Assumptions!$D5/100)*(Assumptions!$C5/100/'Benchmark-equivalent supply'!X$3)</f>
        <v>164.99700000000001</v>
      </c>
      <c r="Y7" s="32">
        <f>'Seaborne Supply'!Y5*(1-Assumptions!$D5/100)*(Assumptions!$C5/100/'Benchmark-equivalent supply'!Y$3)</f>
        <v>164.12400000000002</v>
      </c>
      <c r="Z7" s="32">
        <f>'Seaborne Supply'!Z5*(1-Assumptions!$D5/100)*(Assumptions!$C5/100/'Benchmark-equivalent supply'!Z$3)</f>
        <v>163.25100000000003</v>
      </c>
      <c r="AA7" s="32">
        <f>'Seaborne Supply'!AA5*(1-Assumptions!$D5/100)*(Assumptions!$C5/100/'Benchmark-equivalent supply'!AA$3)</f>
        <v>162.37800000000001</v>
      </c>
      <c r="AB7" s="32">
        <f>'Seaborne Supply'!AB5*(1-Assumptions!$D5/100)*(Assumptions!$C5/100/'Benchmark-equivalent supply'!AB$3)</f>
        <v>161.50500000000002</v>
      </c>
    </row>
    <row r="8" spans="1:28" x14ac:dyDescent="0.2">
      <c r="A8" s="7" t="s">
        <v>82</v>
      </c>
      <c r="C8" s="32">
        <f>'Seaborne Supply'!C6*(1-Assumptions!$D6/100)*(Assumptions!$C6/100/'Benchmark-equivalent supply'!C$3)</f>
        <v>0</v>
      </c>
      <c r="D8" s="32">
        <f>'Seaborne Supply'!D6*(1-Assumptions!$D6/100)*(Assumptions!$C6/100/'Benchmark-equivalent supply'!D$3)</f>
        <v>0</v>
      </c>
      <c r="E8" s="32">
        <f>'Seaborne Supply'!E6*(1-Assumptions!$D6/100)*(Assumptions!$C6/100/'Benchmark-equivalent supply'!E$3)</f>
        <v>0</v>
      </c>
      <c r="F8" s="32">
        <f>'Seaborne Supply'!F6*(1-Assumptions!$D6/100)*(Assumptions!$C6/100/'Benchmark-equivalent supply'!F$3)</f>
        <v>0</v>
      </c>
      <c r="G8" s="32">
        <f>'Seaborne Supply'!G6*(1-Assumptions!$D6/100)*(Assumptions!$C6/100/'Benchmark-equivalent supply'!G$3)</f>
        <v>0</v>
      </c>
      <c r="H8" s="32">
        <f>'Seaborne Supply'!H6*(1-Assumptions!$D6/100)*(Assumptions!$C6/100/'Benchmark-equivalent supply'!H$3)</f>
        <v>0</v>
      </c>
      <c r="I8" s="32">
        <f>'Seaborne Supply'!I6*(1-Assumptions!$D6/100)*(Assumptions!$C6/100/'Benchmark-equivalent supply'!I$3)</f>
        <v>0</v>
      </c>
      <c r="J8" s="32">
        <f>'Seaborne Supply'!J6*(1-Assumptions!$D6/100)*(Assumptions!$C6/100/'Benchmark-equivalent supply'!J$3)</f>
        <v>0</v>
      </c>
      <c r="K8" s="32">
        <f>'Seaborne Supply'!K6*(1-Assumptions!$D6/100)*(Assumptions!$C6/100/'Benchmark-equivalent supply'!K$3)</f>
        <v>0</v>
      </c>
      <c r="L8" s="32">
        <f>'Seaborne Supply'!L6*(1-Assumptions!$D6/100)*(Assumptions!$C6/100/'Benchmark-equivalent supply'!L$3)</f>
        <v>0</v>
      </c>
      <c r="M8" s="32">
        <f>'Seaborne Supply'!M6*(1-Assumptions!$D6/100)*(Assumptions!$C6/100/'Benchmark-equivalent supply'!M$3)</f>
        <v>0</v>
      </c>
      <c r="N8" s="32">
        <f>'Seaborne Supply'!N6*(1-Assumptions!$D6/100)*(Assumptions!$C6/100/'Benchmark-equivalent supply'!N$3)</f>
        <v>0</v>
      </c>
      <c r="O8" s="32">
        <f>'Seaborne Supply'!O6*(1-Assumptions!$D6/100)*(Assumptions!$C6/100/'Benchmark-equivalent supply'!O$3)</f>
        <v>0</v>
      </c>
      <c r="P8" s="32">
        <f>'Seaborne Supply'!P6*(1-Assumptions!$D6/100)*(Assumptions!$C6/100/'Benchmark-equivalent supply'!P$3)</f>
        <v>0.19667741935483876</v>
      </c>
      <c r="Q8" s="32">
        <f>'Seaborne Supply'!Q6*(1-Assumptions!$D6/100)*(Assumptions!$C6/100/'Benchmark-equivalent supply'!Q$3)</f>
        <v>4.8185967741935496</v>
      </c>
      <c r="R8" s="32">
        <f>'Seaborne Supply'!R6*(1-Assumptions!$D6/100)*(Assumptions!$C6/100/'Benchmark-equivalent supply'!R$3)</f>
        <v>6.9820483870967758</v>
      </c>
      <c r="S8" s="32">
        <f>'Seaborne Supply'!S6*(1-Assumptions!$D6/100)*(Assumptions!$C6/100/'Benchmark-equivalent supply'!S$3)</f>
        <v>10.994590163934427</v>
      </c>
      <c r="T8" s="32">
        <f>'Seaborne Supply'!T6*(1-Assumptions!$D6/100)*(Assumptions!$C6/100/'Benchmark-equivalent supply'!T$3)</f>
        <v>11.994098360655739</v>
      </c>
      <c r="U8" s="32">
        <f>'Seaborne Supply'!U6*(1-Assumptions!$D6/100)*(Assumptions!$C6/100/'Benchmark-equivalent supply'!U$3)</f>
        <v>12.993606557377051</v>
      </c>
      <c r="V8" s="32">
        <f>'Seaborne Supply'!V6*(1-Assumptions!$D6/100)*(Assumptions!$C6/100/'Benchmark-equivalent supply'!V$3)</f>
        <v>13.993114754098363</v>
      </c>
      <c r="W8" s="32">
        <f>'Seaborne Supply'!W6*(1-Assumptions!$D6/100)*(Assumptions!$C6/100/'Benchmark-equivalent supply'!W$3)</f>
        <v>14.992622950819674</v>
      </c>
      <c r="X8" s="32">
        <f>'Seaborne Supply'!X6*(1-Assumptions!$D6/100)*(Assumptions!$C6/100/'Benchmark-equivalent supply'!X$3)</f>
        <v>15.992131147540986</v>
      </c>
      <c r="Y8" s="32">
        <f>'Seaborne Supply'!Y6*(1-Assumptions!$D6/100)*(Assumptions!$C6/100/'Benchmark-equivalent supply'!Y$3)</f>
        <v>15.992131147540986</v>
      </c>
      <c r="Z8" s="32">
        <f>'Seaborne Supply'!Z6*(1-Assumptions!$D6/100)*(Assumptions!$C6/100/'Benchmark-equivalent supply'!Z$3)</f>
        <v>15.992131147540986</v>
      </c>
      <c r="AA8" s="32">
        <f>'Seaborne Supply'!AA6*(1-Assumptions!$D6/100)*(Assumptions!$C6/100/'Benchmark-equivalent supply'!AA$3)</f>
        <v>15.992131147540986</v>
      </c>
      <c r="AB8" s="32">
        <f>'Seaborne Supply'!AB6*(1-Assumptions!$D6/100)*(Assumptions!$C6/100/'Benchmark-equivalent supply'!AB$3)</f>
        <v>15.992131147540986</v>
      </c>
    </row>
    <row r="9" spans="1:28" x14ac:dyDescent="0.2">
      <c r="A9" s="7" t="s">
        <v>69</v>
      </c>
      <c r="B9" s="33"/>
      <c r="C9" s="32">
        <f>'Seaborne Supply'!C7*(1-Assumptions!$D7/100)*(Assumptions!$C7/100/'Benchmark-equivalent supply'!C$3)</f>
        <v>90.857419354838711</v>
      </c>
      <c r="D9" s="32">
        <f>'Seaborne Supply'!D7*(1-Assumptions!$D7/100)*(Assumptions!$C7/100/'Benchmark-equivalent supply'!D$3)</f>
        <v>96.933870967741939</v>
      </c>
      <c r="E9" s="32">
        <f>'Seaborne Supply'!E7*(1-Assumptions!$D7/100)*(Assumptions!$C7/100/'Benchmark-equivalent supply'!E$3)</f>
        <v>101.66</v>
      </c>
      <c r="F9" s="32">
        <f>'Seaborne Supply'!F7*(1-Assumptions!$D7/100)*(Assumptions!$C7/100/'Benchmark-equivalent supply'!F$3)</f>
        <v>103.20322580645161</v>
      </c>
      <c r="G9" s="32">
        <f>'Seaborne Supply'!G7*(1-Assumptions!$D7/100)*(Assumptions!$C7/100/'Benchmark-equivalent supply'!G$3)</f>
        <v>108.31516129032258</v>
      </c>
      <c r="H9" s="32">
        <f>'Seaborne Supply'!H7*(1-Assumptions!$D7/100)*(Assumptions!$C7/100/'Benchmark-equivalent supply'!H$3)</f>
        <v>120.27516129032259</v>
      </c>
      <c r="I9" s="32">
        <f>'Seaborne Supply'!I7*(1-Assumptions!$D7/100)*(Assumptions!$C7/100/'Benchmark-equivalent supply'!I$3)</f>
        <v>143.71290322580646</v>
      </c>
      <c r="J9" s="32">
        <f>'Seaborne Supply'!J7*(1-Assumptions!$D7/100)*(Assumptions!$C7/100/'Benchmark-equivalent supply'!J$3)</f>
        <v>163.48548387096773</v>
      </c>
      <c r="K9" s="32">
        <f>'Seaborne Supply'!K7*(1-Assumptions!$D7/100)*(Assumptions!$C7/100/'Benchmark-equivalent supply'!K$3)</f>
        <v>190.97419354838709</v>
      </c>
      <c r="L9" s="32">
        <f>'Seaborne Supply'!L7*(1-Assumptions!$D7/100)*(Assumptions!$C7/100/'Benchmark-equivalent supply'!L$3)</f>
        <v>183.25806451612902</v>
      </c>
      <c r="M9" s="32">
        <f>'Seaborne Supply'!M7*(1-Assumptions!$D7/100)*(Assumptions!$C7/100/'Benchmark-equivalent supply'!M$3)</f>
        <v>184.41548387096773</v>
      </c>
      <c r="N9" s="32">
        <f>'Seaborne Supply'!N7*(1-Assumptions!$D7/100)*(Assumptions!$C7/100/'Benchmark-equivalent supply'!N$3)</f>
        <v>176.41</v>
      </c>
      <c r="O9" s="32">
        <f>'Seaborne Supply'!O7*(1-Assumptions!$D7/100)*(Assumptions!$C7/100/'Benchmark-equivalent supply'!O$3)</f>
        <v>161.94225806451615</v>
      </c>
      <c r="P9" s="32">
        <f>'Seaborne Supply'!P7*(1-Assumptions!$D7/100)*(Assumptions!$C7/100/'Benchmark-equivalent supply'!P$3)</f>
        <v>160.20612903225808</v>
      </c>
      <c r="Q9" s="32">
        <f>'Seaborne Supply'!Q7*(1-Assumptions!$D7/100)*(Assumptions!$C7/100/'Benchmark-equivalent supply'!Q$3)</f>
        <v>169.56193548387097</v>
      </c>
      <c r="R9" s="32">
        <f>'Seaborne Supply'!R7*(1-Assumptions!$D7/100)*(Assumptions!$C7/100/'Benchmark-equivalent supply'!R$3)</f>
        <v>166.28258064516129</v>
      </c>
      <c r="S9" s="32">
        <f>'Seaborne Supply'!S7*(1-Assumptions!$D7/100)*(Assumptions!$C7/100/'Benchmark-equivalent supply'!S$3)</f>
        <v>166.65573770491804</v>
      </c>
      <c r="T9" s="32">
        <f>'Seaborne Supply'!T7*(1-Assumptions!$D7/100)*(Assumptions!$C7/100/'Benchmark-equivalent supply'!T$3)</f>
        <v>174.49836065573774</v>
      </c>
      <c r="U9" s="32">
        <f>'Seaborne Supply'!U7*(1-Assumptions!$D7/100)*(Assumptions!$C7/100/'Benchmark-equivalent supply'!U$3)</f>
        <v>180.38032786885248</v>
      </c>
      <c r="V9" s="32">
        <f>'Seaborne Supply'!V7*(1-Assumptions!$D7/100)*(Assumptions!$C7/100/'Benchmark-equivalent supply'!V$3)</f>
        <v>184.30163934426233</v>
      </c>
      <c r="W9" s="32">
        <f>'Seaborne Supply'!W7*(1-Assumptions!$D7/100)*(Assumptions!$C7/100/'Benchmark-equivalent supply'!W$3)</f>
        <v>186.26229508196724</v>
      </c>
      <c r="X9" s="32">
        <f>'Seaborne Supply'!X7*(1-Assumptions!$D7/100)*(Assumptions!$C7/100/'Benchmark-equivalent supply'!X$3)</f>
        <v>186.26229508196724</v>
      </c>
      <c r="Y9" s="32">
        <f>'Seaborne Supply'!Y7*(1-Assumptions!$D7/100)*(Assumptions!$C7/100/'Benchmark-equivalent supply'!Y$3)</f>
        <v>186.26229508196724</v>
      </c>
      <c r="Z9" s="32">
        <f>'Seaborne Supply'!Z7*(1-Assumptions!$D7/100)*(Assumptions!$C7/100/'Benchmark-equivalent supply'!Z$3)</f>
        <v>186.26229508196724</v>
      </c>
      <c r="AA9" s="32">
        <f>'Seaborne Supply'!AA7*(1-Assumptions!$D7/100)*(Assumptions!$C7/100/'Benchmark-equivalent supply'!AA$3)</f>
        <v>186.26229508196724</v>
      </c>
      <c r="AB9" s="32">
        <f>'Seaborne Supply'!AB7*(1-Assumptions!$D7/100)*(Assumptions!$C7/100/'Benchmark-equivalent supply'!AB$3)</f>
        <v>186.26229508196724</v>
      </c>
    </row>
    <row r="10" spans="1:28" x14ac:dyDescent="0.2">
      <c r="A10" s="7" t="s">
        <v>73</v>
      </c>
      <c r="C10" s="32">
        <f>'Seaborne Supply'!C8*(1-Assumptions!$D8/100)*(Assumptions!$C8/100/'Benchmark-equivalent supply'!C$3)</f>
        <v>90.878193548387102</v>
      </c>
      <c r="D10" s="32">
        <f>'Seaborne Supply'!D8*(1-Assumptions!$D8/100)*(Assumptions!$C8/100/'Benchmark-equivalent supply'!D$3)</f>
        <v>93.141096774193556</v>
      </c>
      <c r="E10" s="32">
        <f>'Seaborne Supply'!E8*(1-Assumptions!$D8/100)*(Assumptions!$C8/100/'Benchmark-equivalent supply'!E$3)</f>
        <v>92.869548387096771</v>
      </c>
      <c r="F10" s="32">
        <f>'Seaborne Supply'!F8*(1-Assumptions!$D8/100)*(Assumptions!$C8/100/'Benchmark-equivalent supply'!F$3)</f>
        <v>91.964387096774189</v>
      </c>
      <c r="G10" s="32">
        <f>'Seaborne Supply'!G8*(1-Assumptions!$D8/100)*(Assumptions!$C8/100/'Benchmark-equivalent supply'!G$3)</f>
        <v>91.873870967741951</v>
      </c>
      <c r="H10" s="32">
        <f>'Seaborne Supply'!H8*(1-Assumptions!$D8/100)*(Assumptions!$C8/100/'Benchmark-equivalent supply'!H$3)</f>
        <v>95.404000000000011</v>
      </c>
      <c r="I10" s="32">
        <f>'Seaborne Supply'!I8*(1-Assumptions!$D8/100)*(Assumptions!$C8/100/'Benchmark-equivalent supply'!I$3)</f>
        <v>91.149741935483874</v>
      </c>
      <c r="J10" s="32">
        <f>'Seaborne Supply'!J8*(1-Assumptions!$D8/100)*(Assumptions!$C8/100/'Benchmark-equivalent supply'!J$3)</f>
        <v>92.507483870967746</v>
      </c>
      <c r="K10" s="32">
        <f>'Seaborne Supply'!K8*(1-Assumptions!$D8/100)*(Assumptions!$C8/100/'Benchmark-equivalent supply'!K$3)</f>
        <v>87.6196129032258</v>
      </c>
      <c r="L10" s="32">
        <f>'Seaborne Supply'!L8*(1-Assumptions!$D8/100)*(Assumptions!$C8/100/'Benchmark-equivalent supply'!L$3)</f>
        <v>62.637161290322588</v>
      </c>
      <c r="M10" s="32">
        <f>'Seaborne Supply'!M8*(1-Assumptions!$D8/100)*(Assumptions!$C8/100/'Benchmark-equivalent supply'!M$3)</f>
        <v>44.171870967741938</v>
      </c>
      <c r="N10" s="32">
        <f>'Seaborne Supply'!N8*(1-Assumptions!$D8/100)*(Assumptions!$C8/100/'Benchmark-equivalent supply'!N$3)</f>
        <v>52.137290322580647</v>
      </c>
      <c r="O10" s="32">
        <f>'Seaborne Supply'!O8*(1-Assumptions!$D8/100)*(Assumptions!$C8/100/'Benchmark-equivalent supply'!O$3)</f>
        <v>55.667419354838714</v>
      </c>
      <c r="P10" s="32">
        <f>'Seaborne Supply'!P8*(1-Assumptions!$D8/100)*(Assumptions!$C8/100/'Benchmark-equivalent supply'!P$3)</f>
        <v>62.637161290322588</v>
      </c>
      <c r="Q10" s="32">
        <f>'Seaborne Supply'!Q8*(1-Assumptions!$D8/100)*(Assumptions!$C8/100/'Benchmark-equivalent supply'!Q$3)</f>
        <v>65.081096774193554</v>
      </c>
      <c r="R10" s="32">
        <f>'Seaborne Supply'!R8*(1-Assumptions!$D8/100)*(Assumptions!$C8/100/'Benchmark-equivalent supply'!R$3)</f>
        <v>73.227548387096789</v>
      </c>
      <c r="S10" s="32">
        <f>'Seaborne Supply'!S8*(1-Assumptions!$D8/100)*(Assumptions!$C8/100/'Benchmark-equivalent supply'!S$3)</f>
        <v>82.8</v>
      </c>
      <c r="T10" s="32">
        <f>'Seaborne Supply'!T8*(1-Assumptions!$D8/100)*(Assumptions!$C8/100/'Benchmark-equivalent supply'!T$3)</f>
        <v>84.64</v>
      </c>
      <c r="U10" s="32">
        <f>'Seaborne Supply'!U8*(1-Assumptions!$D8/100)*(Assumptions!$C8/100/'Benchmark-equivalent supply'!U$3)</f>
        <v>84.64</v>
      </c>
      <c r="V10" s="32">
        <f>'Seaborne Supply'!V8*(1-Assumptions!$D8/100)*(Assumptions!$C8/100/'Benchmark-equivalent supply'!V$3)</f>
        <v>83.72</v>
      </c>
      <c r="W10" s="32">
        <f>'Seaborne Supply'!W8*(1-Assumptions!$D8/100)*(Assumptions!$C8/100/'Benchmark-equivalent supply'!W$3)</f>
        <v>82.8</v>
      </c>
      <c r="X10" s="32">
        <f>'Seaborne Supply'!X8*(1-Assumptions!$D8/100)*(Assumptions!$C8/100/'Benchmark-equivalent supply'!X$3)</f>
        <v>82.8</v>
      </c>
      <c r="Y10" s="32">
        <f>'Seaborne Supply'!Y8*(1-Assumptions!$D8/100)*(Assumptions!$C8/100/'Benchmark-equivalent supply'!Y$3)</f>
        <v>81.88000000000001</v>
      </c>
      <c r="Z10" s="32">
        <f>'Seaborne Supply'!Z8*(1-Assumptions!$D8/100)*(Assumptions!$C8/100/'Benchmark-equivalent supply'!Z$3)</f>
        <v>81.88000000000001</v>
      </c>
      <c r="AA10" s="32">
        <f>'Seaborne Supply'!AA8*(1-Assumptions!$D8/100)*(Assumptions!$C8/100/'Benchmark-equivalent supply'!AA$3)</f>
        <v>80.960000000000008</v>
      </c>
      <c r="AB10" s="32">
        <f>'Seaborne Supply'!AB8*(1-Assumptions!$D8/100)*(Assumptions!$C8/100/'Benchmark-equivalent supply'!AB$3)</f>
        <v>80.960000000000008</v>
      </c>
    </row>
    <row r="11" spans="1:28" x14ac:dyDescent="0.2">
      <c r="A11" s="7" t="s">
        <v>74</v>
      </c>
      <c r="C11" s="32">
        <f>'Seaborne Supply'!C9*(1-Assumptions!$D9/100)*(Assumptions!$C9/100/'Benchmark-equivalent supply'!C$3)</f>
        <v>53.571774193548386</v>
      </c>
      <c r="D11" s="32">
        <f>'Seaborne Supply'!D9*(1-Assumptions!$D9/100)*(Assumptions!$C9/100/'Benchmark-equivalent supply'!D$3)</f>
        <v>52.332096774193545</v>
      </c>
      <c r="E11" s="32">
        <f>'Seaborne Supply'!E9*(1-Assumptions!$D9/100)*(Assumptions!$C9/100/'Benchmark-equivalent supply'!E$3)</f>
        <v>55.431290322580644</v>
      </c>
      <c r="F11" s="32">
        <f>'Seaborne Supply'!F9*(1-Assumptions!$D9/100)*(Assumptions!$C9/100/'Benchmark-equivalent supply'!F$3)</f>
        <v>54.722903225806441</v>
      </c>
      <c r="G11" s="32">
        <f>'Seaborne Supply'!G9*(1-Assumptions!$D9/100)*(Assumptions!$C9/100/'Benchmark-equivalent supply'!G$3)</f>
        <v>57.025161290322586</v>
      </c>
      <c r="H11" s="32">
        <f>'Seaborne Supply'!H9*(1-Assumptions!$D9/100)*(Assumptions!$C9/100/'Benchmark-equivalent supply'!H$3)</f>
        <v>61.364032258064512</v>
      </c>
      <c r="I11" s="32">
        <f>'Seaborne Supply'!I9*(1-Assumptions!$D9/100)*(Assumptions!$C9/100/'Benchmark-equivalent supply'!I$3)</f>
        <v>59.770161290322577</v>
      </c>
      <c r="J11" s="32">
        <f>'Seaborne Supply'!J9*(1-Assumptions!$D9/100)*(Assumptions!$C9/100/'Benchmark-equivalent supply'!J$3)</f>
        <v>55.431290322580644</v>
      </c>
      <c r="K11" s="32">
        <f>'Seaborne Supply'!K9*(1-Assumptions!$D9/100)*(Assumptions!$C9/100/'Benchmark-equivalent supply'!K$3)</f>
        <v>53.483225806451607</v>
      </c>
      <c r="L11" s="32">
        <f>'Seaborne Supply'!L9*(1-Assumptions!$D9/100)*(Assumptions!$C9/100/'Benchmark-equivalent supply'!L$3)</f>
        <v>23.642419354838704</v>
      </c>
      <c r="M11" s="32">
        <f>'Seaborne Supply'!M9*(1-Assumptions!$D9/100)*(Assumptions!$C9/100/'Benchmark-equivalent supply'!M$3)</f>
        <v>34.356774193548382</v>
      </c>
      <c r="N11" s="32">
        <f>'Seaborne Supply'!N9*(1-Assumptions!$D9/100)*(Assumptions!$C9/100/'Benchmark-equivalent supply'!N$3)</f>
        <v>37.898709677419347</v>
      </c>
      <c r="O11" s="32">
        <f>'Seaborne Supply'!O9*(1-Assumptions!$D9/100)*(Assumptions!$C9/100/'Benchmark-equivalent supply'!O$3)</f>
        <v>39.049838709677417</v>
      </c>
      <c r="P11" s="32">
        <f>'Seaborne Supply'!P9*(1-Assumptions!$D9/100)*(Assumptions!$C9/100/'Benchmark-equivalent supply'!P$3)</f>
        <v>39.581129032258062</v>
      </c>
      <c r="Q11" s="32">
        <f>'Seaborne Supply'!Q9*(1-Assumptions!$D9/100)*(Assumptions!$C9/100/'Benchmark-equivalent supply'!Q$3)</f>
        <v>42.237580645161295</v>
      </c>
      <c r="R11" s="32">
        <f>'Seaborne Supply'!R9*(1-Assumptions!$D9/100)*(Assumptions!$C9/100/'Benchmark-equivalent supply'!R$3)</f>
        <v>42.50322580645161</v>
      </c>
      <c r="S11" s="32">
        <f>'Seaborne Supply'!S9*(1-Assumptions!$D9/100)*(Assumptions!$C9/100/'Benchmark-equivalent supply'!S$3)</f>
        <v>41.85</v>
      </c>
      <c r="T11" s="32">
        <f>'Seaborne Supply'!T9*(1-Assumptions!$D9/100)*(Assumptions!$C9/100/'Benchmark-equivalent supply'!T$3)</f>
        <v>47.7</v>
      </c>
      <c r="U11" s="32">
        <f>'Seaborne Supply'!U9*(1-Assumptions!$D9/100)*(Assumptions!$C9/100/'Benchmark-equivalent supply'!U$3)</f>
        <v>51.3</v>
      </c>
      <c r="V11" s="32">
        <f>'Seaborne Supply'!V9*(1-Assumptions!$D9/100)*(Assumptions!$C9/100/'Benchmark-equivalent supply'!V$3)</f>
        <v>53.1</v>
      </c>
      <c r="W11" s="32">
        <f>'Seaborne Supply'!W9*(1-Assumptions!$D9/100)*(Assumptions!$C9/100/'Benchmark-equivalent supply'!W$3)</f>
        <v>54.000000000000007</v>
      </c>
      <c r="X11" s="32">
        <f>'Seaborne Supply'!X9*(1-Assumptions!$D9/100)*(Assumptions!$C9/100/'Benchmark-equivalent supply'!X$3)</f>
        <v>54.000000000000007</v>
      </c>
      <c r="Y11" s="32">
        <f>'Seaborne Supply'!Y9*(1-Assumptions!$D9/100)*(Assumptions!$C9/100/'Benchmark-equivalent supply'!Y$3)</f>
        <v>54.000000000000007</v>
      </c>
      <c r="Z11" s="32">
        <f>'Seaborne Supply'!Z9*(1-Assumptions!$D9/100)*(Assumptions!$C9/100/'Benchmark-equivalent supply'!Z$3)</f>
        <v>54.000000000000007</v>
      </c>
      <c r="AA11" s="32">
        <f>'Seaborne Supply'!AA9*(1-Assumptions!$D9/100)*(Assumptions!$C9/100/'Benchmark-equivalent supply'!AA$3)</f>
        <v>54.000000000000007</v>
      </c>
      <c r="AB11" s="32">
        <f>'Seaborne Supply'!AB9*(1-Assumptions!$D9/100)*(Assumptions!$C9/100/'Benchmark-equivalent supply'!AB$3)</f>
        <v>54.000000000000007</v>
      </c>
    </row>
    <row r="12" spans="1:28" x14ac:dyDescent="0.2">
      <c r="A12" s="7" t="s">
        <v>83</v>
      </c>
      <c r="C12" s="32">
        <f>'Seaborne Supply'!C10*(1-Assumptions!$D10/100)*(Assumptions!$C10/100/'Benchmark-equivalent supply'!C$3)</f>
        <v>0</v>
      </c>
      <c r="D12" s="32">
        <f>'Seaborne Supply'!D10*(1-Assumptions!$D10/100)*(Assumptions!$C10/100/'Benchmark-equivalent supply'!D$3)</f>
        <v>0</v>
      </c>
      <c r="E12" s="32">
        <f>'Seaborne Supply'!E10*(1-Assumptions!$D10/100)*(Assumptions!$C10/100/'Benchmark-equivalent supply'!E$3)</f>
        <v>0</v>
      </c>
      <c r="F12" s="32">
        <f>'Seaborne Supply'!F10*(1-Assumptions!$D10/100)*(Assumptions!$C10/100/'Benchmark-equivalent supply'!F$3)</f>
        <v>0</v>
      </c>
      <c r="G12" s="32">
        <f>'Seaborne Supply'!G10*(1-Assumptions!$D10/100)*(Assumptions!$C10/100/'Benchmark-equivalent supply'!G$3)</f>
        <v>0</v>
      </c>
      <c r="H12" s="32">
        <f>'Seaborne Supply'!H10*(1-Assumptions!$D10/100)*(Assumptions!$C10/100/'Benchmark-equivalent supply'!H$3)</f>
        <v>0</v>
      </c>
      <c r="I12" s="32">
        <f>'Seaborne Supply'!I10*(1-Assumptions!$D10/100)*(Assumptions!$C10/100/'Benchmark-equivalent supply'!I$3)</f>
        <v>12.609935483870968</v>
      </c>
      <c r="J12" s="32">
        <f>'Seaborne Supply'!J10*(1-Assumptions!$D10/100)*(Assumptions!$C10/100/'Benchmark-equivalent supply'!J$3)</f>
        <v>27.922000000000001</v>
      </c>
      <c r="K12" s="32">
        <f>'Seaborne Supply'!K10*(1-Assumptions!$D10/100)*(Assumptions!$C10/100/'Benchmark-equivalent supply'!K$3)</f>
        <v>45.035483870967738</v>
      </c>
      <c r="L12" s="32">
        <f>'Seaborne Supply'!L10*(1-Assumptions!$D10/100)*(Assumptions!$C10/100/'Benchmark-equivalent supply'!L$3)</f>
        <v>49.539032258064516</v>
      </c>
      <c r="M12" s="32">
        <f>'Seaborne Supply'!M10*(1-Assumptions!$D10/100)*(Assumptions!$C10/100/'Benchmark-equivalent supply'!M$3)</f>
        <v>52.24116129032258</v>
      </c>
      <c r="N12" s="32">
        <f>'Seaborne Supply'!N10*(1-Assumptions!$D10/100)*(Assumptions!$C10/100/'Benchmark-equivalent supply'!N$3)</f>
        <v>54.042580645161294</v>
      </c>
      <c r="O12" s="32">
        <f>'Seaborne Supply'!O10*(1-Assumptions!$D10/100)*(Assumptions!$C10/100/'Benchmark-equivalent supply'!O$3)</f>
        <v>54.042580645161294</v>
      </c>
      <c r="P12" s="32">
        <f>'Seaborne Supply'!P10*(1-Assumptions!$D10/100)*(Assumptions!$C10/100/'Benchmark-equivalent supply'!P$3)</f>
        <v>54.943290322580651</v>
      </c>
      <c r="Q12" s="32">
        <f>'Seaborne Supply'!Q10*(1-Assumptions!$D10/100)*(Assumptions!$C10/100/'Benchmark-equivalent supply'!Q$3)</f>
        <v>56.744709677419351</v>
      </c>
      <c r="R12" s="32">
        <f>'Seaborne Supply'!R10*(1-Assumptions!$D10/100)*(Assumptions!$C10/100/'Benchmark-equivalent supply'!R$3)</f>
        <v>56.744709677419351</v>
      </c>
      <c r="S12" s="32">
        <f>'Seaborne Supply'!S10*(1-Assumptions!$D10/100)*(Assumptions!$C10/100/'Benchmark-equivalent supply'!S$3)</f>
        <v>57.674950819672127</v>
      </c>
      <c r="T12" s="32">
        <f>'Seaborne Supply'!T10*(1-Assumptions!$D10/100)*(Assumptions!$C10/100/'Benchmark-equivalent supply'!T$3)</f>
        <v>56.851022950819676</v>
      </c>
      <c r="U12" s="32">
        <f>'Seaborne Supply'!U10*(1-Assumptions!$D10/100)*(Assumptions!$C10/100/'Benchmark-equivalent supply'!U$3)</f>
        <v>56.027095081967211</v>
      </c>
      <c r="V12" s="32">
        <f>'Seaborne Supply'!V10*(1-Assumptions!$D10/100)*(Assumptions!$C10/100/'Benchmark-equivalent supply'!V$3)</f>
        <v>54.4707868852459</v>
      </c>
      <c r="W12" s="32">
        <f>'Seaborne Supply'!W10*(1-Assumptions!$D10/100)*(Assumptions!$C10/100/'Benchmark-equivalent supply'!W$3)</f>
        <v>51.266622950819674</v>
      </c>
      <c r="X12" s="32">
        <f>'Seaborne Supply'!X10*(1-Assumptions!$D10/100)*(Assumptions!$C10/100/'Benchmark-equivalent supply'!X$3)</f>
        <v>48.062459016393447</v>
      </c>
      <c r="Y12" s="32">
        <f>'Seaborne Supply'!Y10*(1-Assumptions!$D10/100)*(Assumptions!$C10/100/'Benchmark-equivalent supply'!Y$3)</f>
        <v>44.858295081967213</v>
      </c>
      <c r="Z12" s="32">
        <f>'Seaborne Supply'!Z10*(1-Assumptions!$D10/100)*(Assumptions!$C10/100/'Benchmark-equivalent supply'!Z$3)</f>
        <v>41.65413114754098</v>
      </c>
      <c r="AA12" s="32">
        <f>'Seaborne Supply'!AA10*(1-Assumptions!$D10/100)*(Assumptions!$C10/100/'Benchmark-equivalent supply'!AA$3)</f>
        <v>38.449967213114753</v>
      </c>
      <c r="AB12" s="32">
        <f>'Seaborne Supply'!AB10*(1-Assumptions!$D10/100)*(Assumptions!$C10/100/'Benchmark-equivalent supply'!AB$3)</f>
        <v>36.069731147540978</v>
      </c>
    </row>
    <row r="13" spans="1:28" x14ac:dyDescent="0.2">
      <c r="A13" s="7" t="s">
        <v>84</v>
      </c>
      <c r="C13" s="32">
        <f>'Seaborne Supply'!C11*(1-Assumptions!$D11/100)*(Assumptions!$C11/100/'Benchmark-equivalent supply'!C$3)</f>
        <v>0</v>
      </c>
      <c r="D13" s="32">
        <f>'Seaborne Supply'!D11*(1-Assumptions!$D11/100)*(Assumptions!$C11/100/'Benchmark-equivalent supply'!D$3)</f>
        <v>0</v>
      </c>
      <c r="E13" s="32">
        <f>'Seaborne Supply'!E11*(1-Assumptions!$D11/100)*(Assumptions!$C11/100/'Benchmark-equivalent supply'!E$3)</f>
        <v>0</v>
      </c>
      <c r="F13" s="32">
        <f>'Seaborne Supply'!F11*(1-Assumptions!$D11/100)*(Assumptions!$C11/100/'Benchmark-equivalent supply'!F$3)</f>
        <v>0</v>
      </c>
      <c r="G13" s="32">
        <f>'Seaborne Supply'!G11*(1-Assumptions!$D11/100)*(Assumptions!$C11/100/'Benchmark-equivalent supply'!G$3)</f>
        <v>0</v>
      </c>
      <c r="H13" s="32">
        <f>'Seaborne Supply'!H11*(1-Assumptions!$D11/100)*(Assumptions!$C11/100/'Benchmark-equivalent supply'!H$3)</f>
        <v>0</v>
      </c>
      <c r="I13" s="32">
        <f>'Seaborne Supply'!I11*(1-Assumptions!$D11/100)*(Assumptions!$C11/100/'Benchmark-equivalent supply'!I$3)</f>
        <v>0</v>
      </c>
      <c r="J13" s="32">
        <f>'Seaborne Supply'!J11*(1-Assumptions!$D11/100)*(Assumptions!$C11/100/'Benchmark-equivalent supply'!J$3)</f>
        <v>0</v>
      </c>
      <c r="K13" s="32">
        <f>'Seaborne Supply'!K11*(1-Assumptions!$D11/100)*(Assumptions!$C11/100/'Benchmark-equivalent supply'!K$3)</f>
        <v>0</v>
      </c>
      <c r="L13" s="32">
        <f>'Seaborne Supply'!L11*(1-Assumptions!$D11/100)*(Assumptions!$C11/100/'Benchmark-equivalent supply'!L$3)</f>
        <v>0</v>
      </c>
      <c r="M13" s="32">
        <f>'Seaborne Supply'!M11*(1-Assumptions!$D11/100)*(Assumptions!$C11/100/'Benchmark-equivalent supply'!M$3)</f>
        <v>0</v>
      </c>
      <c r="N13" s="32">
        <f>'Seaborne Supply'!N11*(1-Assumptions!$D11/100)*(Assumptions!$C11/100/'Benchmark-equivalent supply'!N$3)</f>
        <v>0</v>
      </c>
      <c r="O13" s="32">
        <f>'Seaborne Supply'!O11*(1-Assumptions!$D11/100)*(Assumptions!$C11/100/'Benchmark-equivalent supply'!O$3)</f>
        <v>0</v>
      </c>
      <c r="P13" s="32">
        <f>'Seaborne Supply'!P11*(1-Assumptions!$D11/100)*(Assumptions!$C11/100/'Benchmark-equivalent supply'!P$3)</f>
        <v>0</v>
      </c>
      <c r="Q13" s="32">
        <f>'Seaborne Supply'!Q11*(1-Assumptions!$D11/100)*(Assumptions!$C11/100/'Benchmark-equivalent supply'!Q$3)</f>
        <v>0.17272258064516133</v>
      </c>
      <c r="R13" s="32">
        <f>'Seaborne Supply'!R11*(1-Assumptions!$D11/100)*(Assumptions!$C11/100/'Benchmark-equivalent supply'!R$3)</f>
        <v>6.9089032258064531</v>
      </c>
      <c r="S13" s="32">
        <f>'Seaborne Supply'!S11*(1-Assumptions!$D11/100)*(Assumptions!$C11/100/'Benchmark-equivalent supply'!S$3)</f>
        <v>17.29207868852459</v>
      </c>
      <c r="T13" s="32">
        <f>'Seaborne Supply'!T11*(1-Assumptions!$D11/100)*(Assumptions!$C11/100/'Benchmark-equivalent supply'!T$3)</f>
        <v>30.721967213114763</v>
      </c>
      <c r="U13" s="32">
        <f>'Seaborne Supply'!U11*(1-Assumptions!$D11/100)*(Assumptions!$C11/100/'Benchmark-equivalent supply'!U$3)</f>
        <v>30.721967213114763</v>
      </c>
      <c r="V13" s="32">
        <f>'Seaborne Supply'!V11*(1-Assumptions!$D11/100)*(Assumptions!$C11/100/'Benchmark-equivalent supply'!V$3)</f>
        <v>30.721967213114763</v>
      </c>
      <c r="W13" s="32">
        <f>'Seaborne Supply'!W11*(1-Assumptions!$D11/100)*(Assumptions!$C11/100/'Benchmark-equivalent supply'!W$3)</f>
        <v>30.721967213114763</v>
      </c>
      <c r="X13" s="32">
        <f>'Seaborne Supply'!X11*(1-Assumptions!$D11/100)*(Assumptions!$C11/100/'Benchmark-equivalent supply'!X$3)</f>
        <v>30.721967213114763</v>
      </c>
      <c r="Y13" s="32">
        <f>'Seaborne Supply'!Y11*(1-Assumptions!$D11/100)*(Assumptions!$C11/100/'Benchmark-equivalent supply'!Y$3)</f>
        <v>30.721967213114763</v>
      </c>
      <c r="Z13" s="32">
        <f>'Seaborne Supply'!Z11*(1-Assumptions!$D11/100)*(Assumptions!$C11/100/'Benchmark-equivalent supply'!Z$3)</f>
        <v>30.721967213114763</v>
      </c>
      <c r="AA13" s="32">
        <f>'Seaborne Supply'!AA11*(1-Assumptions!$D11/100)*(Assumptions!$C11/100/'Benchmark-equivalent supply'!AA$3)</f>
        <v>30.721967213114763</v>
      </c>
      <c r="AB13" s="32">
        <f>'Seaborne Supply'!AB11*(1-Assumptions!$D11/100)*(Assumptions!$C11/100/'Benchmark-equivalent supply'!AB$3)</f>
        <v>30.721967213114763</v>
      </c>
    </row>
    <row r="14" spans="1:28" x14ac:dyDescent="0.2">
      <c r="A14" s="7" t="s">
        <v>85</v>
      </c>
      <c r="C14" s="32">
        <f>'Seaborne Supply'!C12*(1-Assumptions!$D12/100)*(Assumptions!$C12/100/'Benchmark-equivalent supply'!C$3)</f>
        <v>0</v>
      </c>
      <c r="D14" s="32">
        <f>'Seaborne Supply'!D12*(1-Assumptions!$D12/100)*(Assumptions!$C12/100/'Benchmark-equivalent supply'!D$3)</f>
        <v>0</v>
      </c>
      <c r="E14" s="32">
        <f>'Seaborne Supply'!E12*(1-Assumptions!$D12/100)*(Assumptions!$C12/100/'Benchmark-equivalent supply'!E$3)</f>
        <v>0</v>
      </c>
      <c r="F14" s="32">
        <f>'Seaborne Supply'!F12*(1-Assumptions!$D12/100)*(Assumptions!$C12/100/'Benchmark-equivalent supply'!F$3)</f>
        <v>0</v>
      </c>
      <c r="G14" s="32">
        <f>'Seaborne Supply'!G12*(1-Assumptions!$D12/100)*(Assumptions!$C12/100/'Benchmark-equivalent supply'!G$3)</f>
        <v>0</v>
      </c>
      <c r="H14" s="32">
        <f>'Seaborne Supply'!H12*(1-Assumptions!$D12/100)*(Assumptions!$C12/100/'Benchmark-equivalent supply'!H$3)</f>
        <v>5.0859677419354838</v>
      </c>
      <c r="I14" s="32">
        <f>'Seaborne Supply'!I12*(1-Assumptions!$D12/100)*(Assumptions!$C12/100/'Benchmark-equivalent supply'!I$3)</f>
        <v>5.9336290322580645</v>
      </c>
      <c r="J14" s="32">
        <f>'Seaborne Supply'!J12*(1-Assumptions!$D12/100)*(Assumptions!$C12/100/'Benchmark-equivalent supply'!J$3)</f>
        <v>6.7812903225806451</v>
      </c>
      <c r="K14" s="32">
        <f>'Seaborne Supply'!K12*(1-Assumptions!$D12/100)*(Assumptions!$C12/100/'Benchmark-equivalent supply'!K$3)</f>
        <v>6.7812903225806451</v>
      </c>
      <c r="L14" s="32">
        <f>'Seaborne Supply'!L12*(1-Assumptions!$D12/100)*(Assumptions!$C12/100/'Benchmark-equivalent supply'!L$3)</f>
        <v>6.7812903225806451</v>
      </c>
      <c r="M14" s="32">
        <f>'Seaborne Supply'!M12*(1-Assumptions!$D12/100)*(Assumptions!$C12/100/'Benchmark-equivalent supply'!M$3)</f>
        <v>6.7812903225806451</v>
      </c>
      <c r="N14" s="32">
        <f>'Seaborne Supply'!N12*(1-Assumptions!$D12/100)*(Assumptions!$C12/100/'Benchmark-equivalent supply'!N$3)</f>
        <v>7.6289516129032267</v>
      </c>
      <c r="O14" s="32">
        <f>'Seaborne Supply'!O12*(1-Assumptions!$D12/100)*(Assumptions!$C12/100/'Benchmark-equivalent supply'!O$3)</f>
        <v>7.6289516129032267</v>
      </c>
      <c r="P14" s="32">
        <f>'Seaborne Supply'!P12*(1-Assumptions!$D12/100)*(Assumptions!$C12/100/'Benchmark-equivalent supply'!P$3)</f>
        <v>7.6289516129032267</v>
      </c>
      <c r="Q14" s="32">
        <f>'Seaborne Supply'!Q12*(1-Assumptions!$D12/100)*(Assumptions!$C12/100/'Benchmark-equivalent supply'!Q$3)</f>
        <v>7.6289516129032267</v>
      </c>
      <c r="R14" s="32">
        <f>'Seaborne Supply'!R12*(1-Assumptions!$D12/100)*(Assumptions!$C12/100/'Benchmark-equivalent supply'!R$3)</f>
        <v>8.4766129032258064</v>
      </c>
      <c r="S14" s="32">
        <f>'Seaborne Supply'!S12*(1-Assumptions!$D12/100)*(Assumptions!$C12/100/'Benchmark-equivalent supply'!S$3)</f>
        <v>8.6155737704918032</v>
      </c>
      <c r="T14" s="32">
        <f>'Seaborne Supply'!T12*(1-Assumptions!$D12/100)*(Assumptions!$C12/100/'Benchmark-equivalent supply'!T$3)</f>
        <v>8.6155737704918032</v>
      </c>
      <c r="U14" s="32">
        <f>'Seaborne Supply'!U12*(1-Assumptions!$D12/100)*(Assumptions!$C12/100/'Benchmark-equivalent supply'!U$3)</f>
        <v>8.6155737704918032</v>
      </c>
      <c r="V14" s="32">
        <f>'Seaborne Supply'!V12*(1-Assumptions!$D12/100)*(Assumptions!$C12/100/'Benchmark-equivalent supply'!V$3)</f>
        <v>8.6155737704918032</v>
      </c>
      <c r="W14" s="32">
        <f>'Seaborne Supply'!W12*(1-Assumptions!$D12/100)*(Assumptions!$C12/100/'Benchmark-equivalent supply'!W$3)</f>
        <v>8.6155737704918032</v>
      </c>
      <c r="X14" s="32">
        <f>'Seaborne Supply'!X12*(1-Assumptions!$D12/100)*(Assumptions!$C12/100/'Benchmark-equivalent supply'!X$3)</f>
        <v>0</v>
      </c>
      <c r="Y14" s="32">
        <f>'Seaborne Supply'!Y12*(1-Assumptions!$D12/100)*(Assumptions!$C12/100/'Benchmark-equivalent supply'!Y$3)</f>
        <v>0</v>
      </c>
      <c r="Z14" s="32">
        <f>'Seaborne Supply'!Z12*(1-Assumptions!$D12/100)*(Assumptions!$C12/100/'Benchmark-equivalent supply'!Z$3)</f>
        <v>0</v>
      </c>
      <c r="AA14" s="32">
        <f>'Seaborne Supply'!AA12*(1-Assumptions!$D12/100)*(Assumptions!$C12/100/'Benchmark-equivalent supply'!AA$3)</f>
        <v>0</v>
      </c>
      <c r="AB14" s="32">
        <f>'Seaborne Supply'!AB12*(1-Assumptions!$D12/100)*(Assumptions!$C12/100/'Benchmark-equivalent supply'!AB$3)</f>
        <v>0</v>
      </c>
    </row>
    <row r="15" spans="1:28" x14ac:dyDescent="0.2">
      <c r="A15" s="7" t="s">
        <v>81</v>
      </c>
      <c r="C15" s="32">
        <f>'Seaborne Supply'!C13*(1-Assumptions!$D13/100)*(Assumptions!$C13/100/'Benchmark-equivalent supply'!C$3)</f>
        <v>5.1077419354838707</v>
      </c>
      <c r="D15" s="32">
        <f>'Seaborne Supply'!D13*(1-Assumptions!$D13/100)*(Assumptions!$C13/100/'Benchmark-equivalent supply'!D$3)</f>
        <v>5.5333870967741934</v>
      </c>
      <c r="E15" s="32">
        <f>'Seaborne Supply'!E13*(1-Assumptions!$D13/100)*(Assumptions!$C13/100/'Benchmark-equivalent supply'!E$3)</f>
        <v>6.3846774193548388</v>
      </c>
      <c r="F15" s="32">
        <f>'Seaborne Supply'!F13*(1-Assumptions!$D13/100)*(Assumptions!$C13/100/'Benchmark-equivalent supply'!F$3)</f>
        <v>8.0872580645161278</v>
      </c>
      <c r="G15" s="32">
        <f>'Seaborne Supply'!G13*(1-Assumptions!$D13/100)*(Assumptions!$C13/100/'Benchmark-equivalent supply'!G$3)</f>
        <v>10.385741935483871</v>
      </c>
      <c r="H15" s="32">
        <f>'Seaborne Supply'!H13*(1-Assumptions!$D13/100)*(Assumptions!$C13/100/'Benchmark-equivalent supply'!H$3)</f>
        <v>11.918064516129032</v>
      </c>
      <c r="I15" s="32">
        <f>'Seaborne Supply'!I13*(1-Assumptions!$D13/100)*(Assumptions!$C13/100/'Benchmark-equivalent supply'!I$3)</f>
        <v>12.343709677419355</v>
      </c>
      <c r="J15" s="32">
        <f>'Seaborne Supply'!J13*(1-Assumptions!$D13/100)*(Assumptions!$C13/100/'Benchmark-equivalent supply'!J$3)</f>
        <v>7.6616129032258051</v>
      </c>
      <c r="K15" s="32">
        <f>'Seaborne Supply'!K13*(1-Assumptions!$D13/100)*(Assumptions!$C13/100/'Benchmark-equivalent supply'!K$3)</f>
        <v>7.6616129032258051</v>
      </c>
      <c r="L15" s="32">
        <f>'Seaborne Supply'!L13*(1-Assumptions!$D13/100)*(Assumptions!$C13/100/'Benchmark-equivalent supply'!L$3)</f>
        <v>6.8103225806451615</v>
      </c>
      <c r="M15" s="32">
        <f>'Seaborne Supply'!M13*(1-Assumptions!$D13/100)*(Assumptions!$C13/100/'Benchmark-equivalent supply'!M$3)</f>
        <v>6.8103225806451615</v>
      </c>
      <c r="N15" s="32">
        <f>'Seaborne Supply'!N13*(1-Assumptions!$D13/100)*(Assumptions!$C13/100/'Benchmark-equivalent supply'!N$3)</f>
        <v>7.6616129032258051</v>
      </c>
      <c r="O15" s="32">
        <f>'Seaborne Supply'!O13*(1-Assumptions!$D13/100)*(Assumptions!$C13/100/'Benchmark-equivalent supply'!O$3)</f>
        <v>7.6616129032258051</v>
      </c>
      <c r="P15" s="32">
        <f>'Seaborne Supply'!P13*(1-Assumptions!$D13/100)*(Assumptions!$C13/100/'Benchmark-equivalent supply'!P$3)</f>
        <v>7.6616129032258051</v>
      </c>
      <c r="Q15" s="32">
        <f>'Seaborne Supply'!Q13*(1-Assumptions!$D13/100)*(Assumptions!$C13/100/'Benchmark-equivalent supply'!Q$3)</f>
        <v>7.6616129032258051</v>
      </c>
      <c r="R15" s="32">
        <f>'Seaborne Supply'!R13*(1-Assumptions!$D13/100)*(Assumptions!$C13/100/'Benchmark-equivalent supply'!R$3)</f>
        <v>7.6616129032258051</v>
      </c>
      <c r="S15" s="32">
        <f>'Seaborne Supply'!S13*(1-Assumptions!$D13/100)*(Assumptions!$C13/100/'Benchmark-equivalent supply'!S$3)</f>
        <v>7.7872131147540973</v>
      </c>
      <c r="T15" s="32">
        <f>'Seaborne Supply'!T13*(1-Assumptions!$D13/100)*(Assumptions!$C13/100/'Benchmark-equivalent supply'!T$3)</f>
        <v>7.7006885245901637</v>
      </c>
      <c r="U15" s="32">
        <f>'Seaborne Supply'!U13*(1-Assumptions!$D13/100)*(Assumptions!$C13/100/'Benchmark-equivalent supply'!U$3)</f>
        <v>7.6141639344262302</v>
      </c>
      <c r="V15" s="32">
        <f>'Seaborne Supply'!V13*(1-Assumptions!$D13/100)*(Assumptions!$C13/100/'Benchmark-equivalent supply'!V$3)</f>
        <v>7.354590163934426</v>
      </c>
      <c r="W15" s="32">
        <f>'Seaborne Supply'!W13*(1-Assumptions!$D13/100)*(Assumptions!$C13/100/'Benchmark-equivalent supply'!W$3)</f>
        <v>6.9219672131147538</v>
      </c>
      <c r="X15" s="32">
        <f>'Seaborne Supply'!X13*(1-Assumptions!$D13/100)*(Assumptions!$C13/100/'Benchmark-equivalent supply'!X$3)</f>
        <v>6.4893442622950817</v>
      </c>
      <c r="Y15" s="32">
        <f>'Seaborne Supply'!Y13*(1-Assumptions!$D13/100)*(Assumptions!$C13/100/'Benchmark-equivalent supply'!Y$3)</f>
        <v>6.0567213114754095</v>
      </c>
      <c r="Z15" s="32">
        <f>'Seaborne Supply'!Z13*(1-Assumptions!$D13/100)*(Assumptions!$C13/100/'Benchmark-equivalent supply'!Z$3)</f>
        <v>5.6240983606557373</v>
      </c>
      <c r="AA15" s="32">
        <f>'Seaborne Supply'!AA13*(1-Assumptions!$D13/100)*(Assumptions!$C13/100/'Benchmark-equivalent supply'!AA$3)</f>
        <v>5.1914754098360651</v>
      </c>
      <c r="AB15" s="32">
        <f>'Seaborne Supply'!AB13*(1-Assumptions!$D13/100)*(Assumptions!$C13/100/'Benchmark-equivalent supply'!AB$3)</f>
        <v>4.8453770491803274</v>
      </c>
    </row>
    <row r="16" spans="1:28" x14ac:dyDescent="0.2">
      <c r="A16" s="7" t="s">
        <v>86</v>
      </c>
      <c r="C16" s="32">
        <f>'Seaborne Supply'!C14*(1-Assumptions!$D14/100)*(Assumptions!$C14/100/'Benchmark-equivalent supply'!C$3)</f>
        <v>0</v>
      </c>
      <c r="D16" s="32">
        <f>'Seaborne Supply'!D14*(1-Assumptions!$D14/100)*(Assumptions!$C14/100/'Benchmark-equivalent supply'!D$3)</f>
        <v>0</v>
      </c>
      <c r="E16" s="32">
        <f>'Seaborne Supply'!E14*(1-Assumptions!$D14/100)*(Assumptions!$C14/100/'Benchmark-equivalent supply'!E$3)</f>
        <v>0</v>
      </c>
      <c r="F16" s="32">
        <f>'Seaborne Supply'!F14*(1-Assumptions!$D14/100)*(Assumptions!$C14/100/'Benchmark-equivalent supply'!F$3)</f>
        <v>0</v>
      </c>
      <c r="G16" s="32">
        <f>'Seaborne Supply'!G14*(1-Assumptions!$D14/100)*(Assumptions!$C14/100/'Benchmark-equivalent supply'!G$3)</f>
        <v>0</v>
      </c>
      <c r="H16" s="32">
        <f>'Seaborne Supply'!H14*(1-Assumptions!$D14/100)*(Assumptions!$C14/100/'Benchmark-equivalent supply'!H$3)</f>
        <v>10.609677419354838</v>
      </c>
      <c r="I16" s="32">
        <f>'Seaborne Supply'!I14*(1-Assumptions!$D14/100)*(Assumptions!$C14/100/'Benchmark-equivalent supply'!I$3)</f>
        <v>15.432258064516128</v>
      </c>
      <c r="J16" s="32">
        <f>'Seaborne Supply'!J14*(1-Assumptions!$D14/100)*(Assumptions!$C14/100/'Benchmark-equivalent supply'!J$3)</f>
        <v>16.396774193548389</v>
      </c>
      <c r="K16" s="32">
        <f>'Seaborne Supply'!K14*(1-Assumptions!$D14/100)*(Assumptions!$C14/100/'Benchmark-equivalent supply'!K$3)</f>
        <v>18.325806451612902</v>
      </c>
      <c r="L16" s="32">
        <f>'Seaborne Supply'!L14*(1-Assumptions!$D14/100)*(Assumptions!$C14/100/'Benchmark-equivalent supply'!L$3)</f>
        <v>19.290322580645164</v>
      </c>
      <c r="M16" s="32">
        <f>'Seaborne Supply'!M14*(1-Assumptions!$D14/100)*(Assumptions!$C14/100/'Benchmark-equivalent supply'!M$3)</f>
        <v>20.254838709677419</v>
      </c>
      <c r="N16" s="32">
        <f>'Seaborne Supply'!N14*(1-Assumptions!$D14/100)*(Assumptions!$C14/100/'Benchmark-equivalent supply'!N$3)</f>
        <v>20.254838709677419</v>
      </c>
      <c r="O16" s="32">
        <f>'Seaborne Supply'!O14*(1-Assumptions!$D14/100)*(Assumptions!$C14/100/'Benchmark-equivalent supply'!O$3)</f>
        <v>19.290322580645164</v>
      </c>
      <c r="P16" s="32">
        <f>'Seaborne Supply'!P14*(1-Assumptions!$D14/100)*(Assumptions!$C14/100/'Benchmark-equivalent supply'!P$3)</f>
        <v>19.290322580645164</v>
      </c>
      <c r="Q16" s="32">
        <f>'Seaborne Supply'!Q14*(1-Assumptions!$D14/100)*(Assumptions!$C14/100/'Benchmark-equivalent supply'!Q$3)</f>
        <v>14.467741935483872</v>
      </c>
      <c r="R16" s="32">
        <f>'Seaborne Supply'!R14*(1-Assumptions!$D14/100)*(Assumptions!$C14/100/'Benchmark-equivalent supply'!R$3)</f>
        <v>14.178387096774191</v>
      </c>
      <c r="S16" s="32">
        <f>'Seaborne Supply'!S14*(1-Assumptions!$D14/100)*(Assumptions!$C14/100/'Benchmark-equivalent supply'!S$3)</f>
        <v>15.195081967213115</v>
      </c>
      <c r="T16" s="32">
        <f>'Seaborne Supply'!T14*(1-Assumptions!$D14/100)*(Assumptions!$C14/100/'Benchmark-equivalent supply'!T$3)</f>
        <v>17.155737704918035</v>
      </c>
      <c r="U16" s="32">
        <f>'Seaborne Supply'!U14*(1-Assumptions!$D14/100)*(Assumptions!$C14/100/'Benchmark-equivalent supply'!U$3)</f>
        <v>19.116393442622954</v>
      </c>
      <c r="V16" s="32">
        <f>'Seaborne Supply'!V14*(1-Assumptions!$D14/100)*(Assumptions!$C14/100/'Benchmark-equivalent supply'!V$3)</f>
        <v>20.586885245901641</v>
      </c>
      <c r="W16" s="32">
        <f>'Seaborne Supply'!W14*(1-Assumptions!$D14/100)*(Assumptions!$C14/100/'Benchmark-equivalent supply'!W$3)</f>
        <v>21.5672131147541</v>
      </c>
      <c r="X16" s="32">
        <f>'Seaborne Supply'!X14*(1-Assumptions!$D14/100)*(Assumptions!$C14/100/'Benchmark-equivalent supply'!X$3)</f>
        <v>22.057377049180328</v>
      </c>
      <c r="Y16" s="32">
        <f>'Seaborne Supply'!Y14*(1-Assumptions!$D14/100)*(Assumptions!$C14/100/'Benchmark-equivalent supply'!Y$3)</f>
        <v>22.547540983606559</v>
      </c>
      <c r="Z16" s="32">
        <f>'Seaborne Supply'!Z14*(1-Assumptions!$D14/100)*(Assumptions!$C14/100/'Benchmark-equivalent supply'!Z$3)</f>
        <v>22.547540983606559</v>
      </c>
      <c r="AA16" s="32">
        <f>'Seaborne Supply'!AA14*(1-Assumptions!$D14/100)*(Assumptions!$C14/100/'Benchmark-equivalent supply'!AA$3)</f>
        <v>22.547540983606559</v>
      </c>
      <c r="AB16" s="32">
        <f>'Seaborne Supply'!AB14*(1-Assumptions!$D14/100)*(Assumptions!$C14/100/'Benchmark-equivalent supply'!AB$3)</f>
        <v>22.547540983606559</v>
      </c>
    </row>
    <row r="17" spans="1:28" x14ac:dyDescent="0.2">
      <c r="A17" s="7" t="s">
        <v>88</v>
      </c>
      <c r="C17" s="32">
        <f>'Seaborne Supply'!C15*(1-Assumptions!$D15/100)*(Assumptions!$C15/100/'Benchmark-equivalent supply'!C$3)</f>
        <v>43.852199999999996</v>
      </c>
      <c r="D17" s="32">
        <f>'Seaborne Supply'!D15*(1-Assumptions!$D15/100)*(Assumptions!$C15/100/'Benchmark-equivalent supply'!D$3)</f>
        <v>41.730319354838706</v>
      </c>
      <c r="E17" s="32">
        <f>'Seaborne Supply'!E15*(1-Assumptions!$D15/100)*(Assumptions!$C15/100/'Benchmark-equivalent supply'!E$3)</f>
        <v>43.549074193548385</v>
      </c>
      <c r="F17" s="32">
        <f>'Seaborne Supply'!F15*(1-Assumptions!$D15/100)*(Assumptions!$C15/100/'Benchmark-equivalent supply'!F$3)</f>
        <v>42.841780645161286</v>
      </c>
      <c r="G17" s="32">
        <f>'Seaborne Supply'!G15*(1-Assumptions!$D15/100)*(Assumptions!$C15/100/'Benchmark-equivalent supply'!G$3)</f>
        <v>48.702212903225814</v>
      </c>
      <c r="H17" s="32">
        <f>'Seaborne Supply'!H15*(1-Assumptions!$D15/100)*(Assumptions!$C15/100/'Benchmark-equivalent supply'!H$3)</f>
        <v>45.367829032258072</v>
      </c>
      <c r="I17" s="32">
        <f>'Seaborne Supply'!I15*(1-Assumptions!$D15/100)*(Assumptions!$C15/100/'Benchmark-equivalent supply'!I$3)</f>
        <v>41.932403225806453</v>
      </c>
      <c r="J17" s="32">
        <f>'Seaborne Supply'!J15*(1-Assumptions!$D15/100)*(Assumptions!$C15/100/'Benchmark-equivalent supply'!J$3)</f>
        <v>45.468870967741942</v>
      </c>
      <c r="K17" s="32">
        <f>'Seaborne Supply'!K15*(1-Assumptions!$D15/100)*(Assumptions!$C15/100/'Benchmark-equivalent supply'!K$3)</f>
        <v>43.549074193548385</v>
      </c>
      <c r="L17" s="32">
        <f>'Seaborne Supply'!L15*(1-Assumptions!$D15/100)*(Assumptions!$C15/100/'Benchmark-equivalent supply'!L$3)</f>
        <v>42.841780645161286</v>
      </c>
      <c r="M17" s="32">
        <f>'Seaborne Supply'!M15*(1-Assumptions!$D15/100)*(Assumptions!$C15/100/'Benchmark-equivalent supply'!M$3)</f>
        <v>37.486558064516132</v>
      </c>
      <c r="N17" s="32">
        <f>'Seaborne Supply'!N15*(1-Assumptions!$D15/100)*(Assumptions!$C15/100/'Benchmark-equivalent supply'!N$3)</f>
        <v>41.326151612903224</v>
      </c>
      <c r="O17" s="32">
        <f>'Seaborne Supply'!O15*(1-Assumptions!$D15/100)*(Assumptions!$C15/100/'Benchmark-equivalent supply'!O$3)</f>
        <v>38.092809677419361</v>
      </c>
      <c r="P17" s="32">
        <f>'Seaborne Supply'!P15*(1-Assumptions!$D15/100)*(Assumptions!$C15/100/'Benchmark-equivalent supply'!P$3)</f>
        <v>36.07197096774194</v>
      </c>
      <c r="Q17" s="32">
        <f>'Seaborne Supply'!Q15*(1-Assumptions!$D15/100)*(Assumptions!$C15/100/'Benchmark-equivalent supply'!Q$3)</f>
        <v>36.07197096774194</v>
      </c>
      <c r="R17" s="32">
        <f>'Seaborne Supply'!R15*(1-Assumptions!$D15/100)*(Assumptions!$C15/100/'Benchmark-equivalent supply'!R$3)</f>
        <v>36.678222580645162</v>
      </c>
      <c r="S17" s="32">
        <f>'Seaborne Supply'!S15*(1-Assumptions!$D15/100)*(Assumptions!$C15/100/'Benchmark-equivalent supply'!S$3)</f>
        <v>36.971409836065583</v>
      </c>
      <c r="T17" s="32">
        <f>'Seaborne Supply'!T15*(1-Assumptions!$D15/100)*(Assumptions!$C15/100/'Benchmark-equivalent supply'!T$3)</f>
        <v>36.971409836065583</v>
      </c>
      <c r="U17" s="32">
        <f>'Seaborne Supply'!U15*(1-Assumptions!$D15/100)*(Assumptions!$C15/100/'Benchmark-equivalent supply'!U$3)</f>
        <v>36.971409836065583</v>
      </c>
      <c r="V17" s="32">
        <f>'Seaborne Supply'!V15*(1-Assumptions!$D15/100)*(Assumptions!$C15/100/'Benchmark-equivalent supply'!V$3)</f>
        <v>36.971409836065583</v>
      </c>
      <c r="W17" s="32">
        <f>'Seaborne Supply'!W15*(1-Assumptions!$D15/100)*(Assumptions!$C15/100/'Benchmark-equivalent supply'!W$3)</f>
        <v>37.998393442622955</v>
      </c>
      <c r="X17" s="32">
        <f>'Seaborne Supply'!X15*(1-Assumptions!$D15/100)*(Assumptions!$C15/100/'Benchmark-equivalent supply'!X$3)</f>
        <v>37.998393442622955</v>
      </c>
      <c r="Y17" s="32">
        <f>'Seaborne Supply'!Y15*(1-Assumptions!$D15/100)*(Assumptions!$C15/100/'Benchmark-equivalent supply'!Y$3)</f>
        <v>37.998393442622955</v>
      </c>
      <c r="Z17" s="32">
        <f>'Seaborne Supply'!Z15*(1-Assumptions!$D15/100)*(Assumptions!$C15/100/'Benchmark-equivalent supply'!Z$3)</f>
        <v>37.998393442622955</v>
      </c>
      <c r="AA17" s="32">
        <f>'Seaborne Supply'!AA15*(1-Assumptions!$D15/100)*(Assumptions!$C15/100/'Benchmark-equivalent supply'!AA$3)</f>
        <v>37.998393442622955</v>
      </c>
      <c r="AB17" s="32">
        <f>'Seaborne Supply'!AB15*(1-Assumptions!$D15/100)*(Assumptions!$C15/100/'Benchmark-equivalent supply'!AB$3)</f>
        <v>37.998393442622955</v>
      </c>
    </row>
    <row r="18" spans="1:28" x14ac:dyDescent="0.2">
      <c r="A18" s="7" t="s">
        <v>93</v>
      </c>
      <c r="C18" s="32">
        <f>'Seaborne Supply'!C16*(1-Assumptions!$D16/100)*(Assumptions!$C16/100/'Benchmark-equivalent supply'!C$3)</f>
        <v>3.2801032258064522</v>
      </c>
      <c r="D18" s="32">
        <f>'Seaborne Supply'!D16*(1-Assumptions!$D16/100)*(Assumptions!$C16/100/'Benchmark-equivalent supply'!D$3)</f>
        <v>5.6376774193548389</v>
      </c>
      <c r="E18" s="32">
        <f>'Seaborne Supply'!E16*(1-Assumptions!$D16/100)*(Assumptions!$C16/100/'Benchmark-equivalent supply'!E$3)</f>
        <v>5.6376774193548389</v>
      </c>
      <c r="F18" s="32">
        <f>'Seaborne Supply'!F16*(1-Assumptions!$D16/100)*(Assumptions!$C16/100/'Benchmark-equivalent supply'!F$3)</f>
        <v>6.0476903225806451</v>
      </c>
      <c r="G18" s="32">
        <f>'Seaborne Supply'!G16*(1-Assumptions!$D16/100)*(Assumptions!$C16/100/'Benchmark-equivalent supply'!G$3)</f>
        <v>6.0476903225806451</v>
      </c>
      <c r="H18" s="32">
        <f>'Seaborne Supply'!H16*(1-Assumptions!$D16/100)*(Assumptions!$C16/100/'Benchmark-equivalent supply'!H$3)</f>
        <v>0</v>
      </c>
      <c r="I18" s="32">
        <f>'Seaborne Supply'!I16*(1-Assumptions!$D16/100)*(Assumptions!$C16/100/'Benchmark-equivalent supply'!I$3)</f>
        <v>0</v>
      </c>
      <c r="J18" s="32">
        <f>'Seaborne Supply'!J16*(1-Assumptions!$D16/100)*(Assumptions!$C16/100/'Benchmark-equivalent supply'!J$3)</f>
        <v>0</v>
      </c>
      <c r="K18" s="32">
        <f>'Seaborne Supply'!K16*(1-Assumptions!$D16/100)*(Assumptions!$C16/100/'Benchmark-equivalent supply'!K$3)</f>
        <v>1.332541935483871</v>
      </c>
      <c r="L18" s="32">
        <f>'Seaborne Supply'!L16*(1-Assumptions!$D16/100)*(Assumptions!$C16/100/'Benchmark-equivalent supply'!L$3)</f>
        <v>7.2777290322580654</v>
      </c>
      <c r="M18" s="32">
        <f>'Seaborne Supply'!M16*(1-Assumptions!$D16/100)*(Assumptions!$C16/100/'Benchmark-equivalent supply'!M$3)</f>
        <v>7.790245161290323</v>
      </c>
      <c r="N18" s="32">
        <f>'Seaborne Supply'!N16*(1-Assumptions!$D16/100)*(Assumptions!$C16/100/'Benchmark-equivalent supply'!N$3)</f>
        <v>7.8927483870967743</v>
      </c>
      <c r="O18" s="32">
        <f>'Seaborne Supply'!O16*(1-Assumptions!$D16/100)*(Assumptions!$C16/100/'Benchmark-equivalent supply'!O$3)</f>
        <v>7.8927483870967743</v>
      </c>
      <c r="P18" s="32">
        <f>'Seaborne Supply'!P16*(1-Assumptions!$D16/100)*(Assumptions!$C16/100/'Benchmark-equivalent supply'!P$3)</f>
        <v>10.865341935483873</v>
      </c>
      <c r="Q18" s="32">
        <f>'Seaborne Supply'!Q16*(1-Assumptions!$D16/100)*(Assumptions!$C16/100/'Benchmark-equivalent supply'!Q$3)</f>
        <v>11.890374193548388</v>
      </c>
      <c r="R18" s="32">
        <f>'Seaborne Supply'!R16*(1-Assumptions!$D16/100)*(Assumptions!$C16/100/'Benchmark-equivalent supply'!R$3)</f>
        <v>13.837935483870968</v>
      </c>
      <c r="S18" s="32">
        <f>'Seaborne Supply'!S16*(1-Assumptions!$D16/100)*(Assumptions!$C16/100/'Benchmark-equivalent supply'!S$3)</f>
        <v>15.627540983606556</v>
      </c>
      <c r="T18" s="32">
        <f>'Seaborne Supply'!T16*(1-Assumptions!$D16/100)*(Assumptions!$C16/100/'Benchmark-equivalent supply'!T$3)</f>
        <v>15.627540983606556</v>
      </c>
      <c r="U18" s="32">
        <f>'Seaborne Supply'!U16*(1-Assumptions!$D16/100)*(Assumptions!$C16/100/'Benchmark-equivalent supply'!U$3)</f>
        <v>15.627540983606556</v>
      </c>
      <c r="V18" s="32">
        <f>'Seaborne Supply'!V16*(1-Assumptions!$D16/100)*(Assumptions!$C16/100/'Benchmark-equivalent supply'!V$3)</f>
        <v>15.627540983606556</v>
      </c>
      <c r="W18" s="32">
        <f>'Seaborne Supply'!W16*(1-Assumptions!$D16/100)*(Assumptions!$C16/100/'Benchmark-equivalent supply'!W$3)</f>
        <v>15.627540983606556</v>
      </c>
      <c r="X18" s="32">
        <f>'Seaborne Supply'!X16*(1-Assumptions!$D16/100)*(Assumptions!$C16/100/'Benchmark-equivalent supply'!X$3)</f>
        <v>15.627540983606556</v>
      </c>
      <c r="Y18" s="32">
        <f>'Seaborne Supply'!Y16*(1-Assumptions!$D16/100)*(Assumptions!$C16/100/'Benchmark-equivalent supply'!Y$3)</f>
        <v>15.627540983606556</v>
      </c>
      <c r="Z18" s="32">
        <f>'Seaborne Supply'!Z16*(1-Assumptions!$D16/100)*(Assumptions!$C16/100/'Benchmark-equivalent supply'!Z$3)</f>
        <v>15.627540983606556</v>
      </c>
      <c r="AA18" s="32">
        <f>'Seaborne Supply'!AA16*(1-Assumptions!$D16/100)*(Assumptions!$C16/100/'Benchmark-equivalent supply'!AA$3)</f>
        <v>15.627540983606556</v>
      </c>
      <c r="AB18" s="32">
        <f>'Seaborne Supply'!AB16*(1-Assumptions!$D16/100)*(Assumptions!$C16/100/'Benchmark-equivalent supply'!AB$3)</f>
        <v>15.627540983606556</v>
      </c>
    </row>
    <row r="19" spans="1:28" x14ac:dyDescent="0.2">
      <c r="A19" s="7" t="s">
        <v>97</v>
      </c>
      <c r="C19" s="32">
        <f>'Seaborne Supply'!C17*(1-Assumptions!$D17/100)*(Assumptions!$C17/100/'Benchmark-equivalent supply'!C$3)</f>
        <v>15.411290322580644</v>
      </c>
      <c r="D19" s="32">
        <f>'Seaborne Supply'!D17*(1-Assumptions!$D17/100)*(Assumptions!$C17/100/'Benchmark-equivalent supply'!D$3)</f>
        <v>13.356451612903225</v>
      </c>
      <c r="E19" s="32">
        <f>'Seaborne Supply'!E17*(1-Assumptions!$D17/100)*(Assumptions!$C17/100/'Benchmark-equivalent supply'!E$3)</f>
        <v>14.383870967741935</v>
      </c>
      <c r="F19" s="32">
        <f>'Seaborne Supply'!F17*(1-Assumptions!$D17/100)*(Assumptions!$C17/100/'Benchmark-equivalent supply'!F$3)</f>
        <v>15.411290322580644</v>
      </c>
      <c r="G19" s="32">
        <f>'Seaborne Supply'!G17*(1-Assumptions!$D17/100)*(Assumptions!$C17/100/'Benchmark-equivalent supply'!G$3)</f>
        <v>15.411290322580644</v>
      </c>
      <c r="H19" s="32">
        <f>'Seaborne Supply'!H17*(1-Assumptions!$D17/100)*(Assumptions!$C17/100/'Benchmark-equivalent supply'!H$3)</f>
        <v>18.493548387096773</v>
      </c>
      <c r="I19" s="32">
        <f>'Seaborne Supply'!I17*(1-Assumptions!$D17/100)*(Assumptions!$C17/100/'Benchmark-equivalent supply'!I$3)</f>
        <v>18.493548387096773</v>
      </c>
      <c r="J19" s="32">
        <f>'Seaborne Supply'!J17*(1-Assumptions!$D17/100)*(Assumptions!$C17/100/'Benchmark-equivalent supply'!J$3)</f>
        <v>19.520967741935483</v>
      </c>
      <c r="K19" s="32">
        <f>'Seaborne Supply'!K17*(1-Assumptions!$D17/100)*(Assumptions!$C17/100/'Benchmark-equivalent supply'!K$3)</f>
        <v>15.616774193548386</v>
      </c>
      <c r="L19" s="32">
        <f>'Seaborne Supply'!L17*(1-Assumptions!$D17/100)*(Assumptions!$C17/100/'Benchmark-equivalent supply'!L$3)</f>
        <v>17.466129032258063</v>
      </c>
      <c r="M19" s="32">
        <f>'Seaborne Supply'!M17*(1-Assumptions!$D17/100)*(Assumptions!$C17/100/'Benchmark-equivalent supply'!M$3)</f>
        <v>17.466129032258063</v>
      </c>
      <c r="N19" s="32">
        <f>'Seaborne Supply'!N17*(1-Assumptions!$D17/100)*(Assumptions!$C17/100/'Benchmark-equivalent supply'!N$3)</f>
        <v>16.438709677419354</v>
      </c>
      <c r="O19" s="32">
        <f>'Seaborne Supply'!O17*(1-Assumptions!$D17/100)*(Assumptions!$C17/100/'Benchmark-equivalent supply'!O$3)</f>
        <v>16.438709677419354</v>
      </c>
      <c r="P19" s="32">
        <f>'Seaborne Supply'!P17*(1-Assumptions!$D17/100)*(Assumptions!$C17/100/'Benchmark-equivalent supply'!P$3)</f>
        <v>16.438709677419354</v>
      </c>
      <c r="Q19" s="32">
        <f>'Seaborne Supply'!Q17*(1-Assumptions!$D17/100)*(Assumptions!$C17/100/'Benchmark-equivalent supply'!Q$3)</f>
        <v>16.438709677419354</v>
      </c>
      <c r="R19" s="32">
        <f>'Seaborne Supply'!R17*(1-Assumptions!$D17/100)*(Assumptions!$C17/100/'Benchmark-equivalent supply'!R$3)</f>
        <v>16.233225806451614</v>
      </c>
      <c r="S19" s="32">
        <f>'Seaborne Supply'!S17*(1-Assumptions!$D17/100)*(Assumptions!$C17/100/'Benchmark-equivalent supply'!S$3)</f>
        <v>17.230327868852459</v>
      </c>
      <c r="T19" s="32">
        <f>'Seaborne Supply'!T17*(1-Assumptions!$D17/100)*(Assumptions!$C17/100/'Benchmark-equivalent supply'!T$3)</f>
        <v>17.752459016393445</v>
      </c>
      <c r="U19" s="32">
        <f>'Seaborne Supply'!U17*(1-Assumptions!$D17/100)*(Assumptions!$C17/100/'Benchmark-equivalent supply'!U$3)</f>
        <v>18.274590163934427</v>
      </c>
      <c r="V19" s="32">
        <f>'Seaborne Supply'!V17*(1-Assumptions!$D17/100)*(Assumptions!$C17/100/'Benchmark-equivalent supply'!V$3)</f>
        <v>18.796721311475412</v>
      </c>
      <c r="W19" s="32">
        <f>'Seaborne Supply'!W17*(1-Assumptions!$D17/100)*(Assumptions!$C17/100/'Benchmark-equivalent supply'!W$3)</f>
        <v>18.796721311475412</v>
      </c>
      <c r="X19" s="32">
        <f>'Seaborne Supply'!X17*(1-Assumptions!$D17/100)*(Assumptions!$C17/100/'Benchmark-equivalent supply'!X$3)</f>
        <v>18.796721311475412</v>
      </c>
      <c r="Y19" s="32">
        <f>'Seaborne Supply'!Y17*(1-Assumptions!$D17/100)*(Assumptions!$C17/100/'Benchmark-equivalent supply'!Y$3)</f>
        <v>18.796721311475412</v>
      </c>
      <c r="Z19" s="32">
        <f>'Seaborne Supply'!Z17*(1-Assumptions!$D17/100)*(Assumptions!$C17/100/'Benchmark-equivalent supply'!Z$3)</f>
        <v>18.796721311475412</v>
      </c>
      <c r="AA19" s="32">
        <f>'Seaborne Supply'!AA17*(1-Assumptions!$D17/100)*(Assumptions!$C17/100/'Benchmark-equivalent supply'!AA$3)</f>
        <v>18.796721311475412</v>
      </c>
      <c r="AB19" s="32">
        <f>'Seaborne Supply'!AB17*(1-Assumptions!$D17/100)*(Assumptions!$C17/100/'Benchmark-equivalent supply'!AB$3)</f>
        <v>18.796721311475412</v>
      </c>
    </row>
    <row r="20" spans="1:28" x14ac:dyDescent="0.2">
      <c r="A20" s="7" t="s">
        <v>99</v>
      </c>
      <c r="C20" s="32">
        <f>'Seaborne Supply'!C18*(1-Assumptions!$D18/100)*(Assumptions!$C18/100/'Benchmark-equivalent supply'!C$3)</f>
        <v>20.954999999999998</v>
      </c>
      <c r="D20" s="32">
        <f>'Seaborne Supply'!D18*(1-Assumptions!$D18/100)*(Assumptions!$C18/100/'Benchmark-equivalent supply'!D$3)</f>
        <v>21.431249999999995</v>
      </c>
      <c r="E20" s="32">
        <f>'Seaborne Supply'!E18*(1-Assumptions!$D18/100)*(Assumptions!$C18/100/'Benchmark-equivalent supply'!E$3)</f>
        <v>18.764249999999997</v>
      </c>
      <c r="F20" s="32">
        <f>'Seaborne Supply'!F18*(1-Assumptions!$D18/100)*(Assumptions!$C18/100/'Benchmark-equivalent supply'!F$3)</f>
        <v>24.002999999999997</v>
      </c>
      <c r="G20" s="32">
        <f>'Seaborne Supply'!G18*(1-Assumptions!$D18/100)*(Assumptions!$C18/100/'Benchmark-equivalent supply'!G$3)</f>
        <v>27.527249999999995</v>
      </c>
      <c r="H20" s="32">
        <f>'Seaborne Supply'!H18*(1-Assumptions!$D18/100)*(Assumptions!$C18/100/'Benchmark-equivalent supply'!H$3)</f>
        <v>20.574000000000002</v>
      </c>
      <c r="I20" s="32">
        <f>'Seaborne Supply'!I18*(1-Assumptions!$D18/100)*(Assumptions!$C18/100/'Benchmark-equivalent supply'!I$3)</f>
        <v>31.337249999999997</v>
      </c>
      <c r="J20" s="32">
        <f>'Seaborne Supply'!J18*(1-Assumptions!$D18/100)*(Assumptions!$C18/100/'Benchmark-equivalent supply'!J$3)</f>
        <v>26.098499999999994</v>
      </c>
      <c r="K20" s="32">
        <f>'Seaborne Supply'!K18*(1-Assumptions!$D18/100)*(Assumptions!$C18/100/'Benchmark-equivalent supply'!K$3)</f>
        <v>28.193999999999999</v>
      </c>
      <c r="L20" s="32">
        <f>'Seaborne Supply'!L18*(1-Assumptions!$D18/100)*(Assumptions!$C18/100/'Benchmark-equivalent supply'!L$3)</f>
        <v>31.432499999999997</v>
      </c>
      <c r="M20" s="32">
        <f>'Seaborne Supply'!M18*(1-Assumptions!$D18/100)*(Assumptions!$C18/100/'Benchmark-equivalent supply'!M$3)</f>
        <v>25.622249999999994</v>
      </c>
      <c r="N20" s="32">
        <f>'Seaborne Supply'!N18*(1-Assumptions!$D18/100)*(Assumptions!$C18/100/'Benchmark-equivalent supply'!N$3)</f>
        <v>26.669999999999998</v>
      </c>
      <c r="O20" s="32">
        <f>'Seaborne Supply'!O18*(1-Assumptions!$D18/100)*(Assumptions!$C18/100/'Benchmark-equivalent supply'!O$3)</f>
        <v>27.812999999999999</v>
      </c>
      <c r="P20" s="32">
        <f>'Seaborne Supply'!P18*(1-Assumptions!$D18/100)*(Assumptions!$C18/100/'Benchmark-equivalent supply'!P$3)</f>
        <v>34.004249999999999</v>
      </c>
      <c r="Q20" s="32">
        <f>'Seaborne Supply'!Q18*(1-Assumptions!$D18/100)*(Assumptions!$C18/100/'Benchmark-equivalent supply'!Q$3)</f>
        <v>36.671250000000001</v>
      </c>
      <c r="R20" s="32">
        <f>'Seaborne Supply'!R18*(1-Assumptions!$D18/100)*(Assumptions!$C18/100/'Benchmark-equivalent supply'!R$3)</f>
        <v>39.814499999999995</v>
      </c>
      <c r="S20" s="32">
        <f>'Seaborne Supply'!S18*(1-Assumptions!$D18/100)*(Assumptions!$C18/100/'Benchmark-equivalent supply'!S$3)</f>
        <v>40.66081967213114</v>
      </c>
      <c r="T20" s="32">
        <f>'Seaborne Supply'!T18*(1-Assumptions!$D18/100)*(Assumptions!$C18/100/'Benchmark-equivalent supply'!T$3)</f>
        <v>43.66197540983606</v>
      </c>
      <c r="U20" s="32">
        <f>'Seaborne Supply'!U18*(1-Assumptions!$D18/100)*(Assumptions!$C18/100/'Benchmark-equivalent supply'!U$3)</f>
        <v>55.957032786885236</v>
      </c>
      <c r="V20" s="32">
        <f>'Seaborne Supply'!V18*(1-Assumptions!$D18/100)*(Assumptions!$C18/100/'Benchmark-equivalent supply'!V$3)</f>
        <v>55.957032786885236</v>
      </c>
      <c r="W20" s="32">
        <f>'Seaborne Supply'!W18*(1-Assumptions!$D18/100)*(Assumptions!$C18/100/'Benchmark-equivalent supply'!W$3)</f>
        <v>55.957032786885236</v>
      </c>
      <c r="X20" s="32">
        <f>'Seaborne Supply'!X18*(1-Assumptions!$D18/100)*(Assumptions!$C18/100/'Benchmark-equivalent supply'!X$3)</f>
        <v>55.957032786885236</v>
      </c>
      <c r="Y20" s="32">
        <f>'Seaborne Supply'!Y18*(1-Assumptions!$D18/100)*(Assumptions!$C18/100/'Benchmark-equivalent supply'!Y$3)</f>
        <v>55.957032786885236</v>
      </c>
      <c r="Z20" s="32">
        <f>'Seaborne Supply'!Z18*(1-Assumptions!$D18/100)*(Assumptions!$C18/100/'Benchmark-equivalent supply'!Z$3)</f>
        <v>55.957032786885236</v>
      </c>
      <c r="AA20" s="32">
        <f>'Seaborne Supply'!AA18*(1-Assumptions!$D18/100)*(Assumptions!$C18/100/'Benchmark-equivalent supply'!AA$3)</f>
        <v>55.957032786885236</v>
      </c>
      <c r="AB20" s="32">
        <f>'Seaborne Supply'!AB18*(1-Assumptions!$D18/100)*(Assumptions!$C18/100/'Benchmark-equivalent supply'!AB$3)</f>
        <v>55.957032786885236</v>
      </c>
    </row>
    <row r="21" spans="1:28" x14ac:dyDescent="0.2">
      <c r="A21" s="7" t="s">
        <v>103</v>
      </c>
      <c r="C21" s="32">
        <f>'Seaborne Supply'!C19*(1-Assumptions!$D19/100)*(Assumptions!$C19/100/'Benchmark-equivalent supply'!C$3)</f>
        <v>0</v>
      </c>
      <c r="D21" s="32">
        <f>'Seaborne Supply'!D19*(1-Assumptions!$D19/100)*(Assumptions!$C19/100/'Benchmark-equivalent supply'!D$3)</f>
        <v>0</v>
      </c>
      <c r="E21" s="32">
        <f>'Seaborne Supply'!E19*(1-Assumptions!$D19/100)*(Assumptions!$C19/100/'Benchmark-equivalent supply'!E$3)</f>
        <v>0</v>
      </c>
      <c r="F21" s="32">
        <f>'Seaborne Supply'!F19*(1-Assumptions!$D19/100)*(Assumptions!$C19/100/'Benchmark-equivalent supply'!F$3)</f>
        <v>0</v>
      </c>
      <c r="G21" s="32">
        <f>'Seaborne Supply'!G19*(1-Assumptions!$D19/100)*(Assumptions!$C19/100/'Benchmark-equivalent supply'!G$3)</f>
        <v>0.68837096774193562</v>
      </c>
      <c r="H21" s="32">
        <f>'Seaborne Supply'!H19*(1-Assumptions!$D19/100)*(Assumptions!$C19/100/'Benchmark-equivalent supply'!H$3)</f>
        <v>9.0471612903225811</v>
      </c>
      <c r="I21" s="32">
        <f>'Seaborne Supply'!I19*(1-Assumptions!$D19/100)*(Assumptions!$C19/100/'Benchmark-equivalent supply'!I$3)</f>
        <v>15.83253225806452</v>
      </c>
      <c r="J21" s="32">
        <f>'Seaborne Supply'!J19*(1-Assumptions!$D19/100)*(Assumptions!$C19/100/'Benchmark-equivalent supply'!J$3)</f>
        <v>16.520903225806457</v>
      </c>
      <c r="K21" s="32">
        <f>'Seaborne Supply'!K19*(1-Assumptions!$D19/100)*(Assumptions!$C19/100/'Benchmark-equivalent supply'!K$3)</f>
        <v>3.3435161290322584</v>
      </c>
      <c r="L21" s="32">
        <f>'Seaborne Supply'!L19*(1-Assumptions!$D19/100)*(Assumptions!$C19/100/'Benchmark-equivalent supply'!L$3)</f>
        <v>22.519564516129034</v>
      </c>
      <c r="M21" s="32">
        <f>'Seaborne Supply'!M19*(1-Assumptions!$D19/100)*(Assumptions!$C19/100/'Benchmark-equivalent supply'!M$3)</f>
        <v>23.69962903225807</v>
      </c>
      <c r="N21" s="32">
        <f>'Seaborne Supply'!N19*(1-Assumptions!$D19/100)*(Assumptions!$C19/100/'Benchmark-equivalent supply'!N$3)</f>
        <v>22.617903225806455</v>
      </c>
      <c r="O21" s="32">
        <f>'Seaborne Supply'!O19*(1-Assumptions!$D19/100)*(Assumptions!$C19/100/'Benchmark-equivalent supply'!O$3)</f>
        <v>20.946145161290328</v>
      </c>
      <c r="P21" s="32">
        <f>'Seaborne Supply'!P19*(1-Assumptions!$D19/100)*(Assumptions!$C19/100/'Benchmark-equivalent supply'!P$3)</f>
        <v>23.896306451612912</v>
      </c>
      <c r="Q21" s="32">
        <f>'Seaborne Supply'!Q19*(1-Assumptions!$D19/100)*(Assumptions!$C19/100/'Benchmark-equivalent supply'!Q$3)</f>
        <v>24.584677419354843</v>
      </c>
      <c r="R21" s="32">
        <f>'Seaborne Supply'!R19*(1-Assumptions!$D19/100)*(Assumptions!$C19/100/'Benchmark-equivalent supply'!R$3)</f>
        <v>24.388000000000005</v>
      </c>
      <c r="S21" s="32">
        <f>'Seaborne Supply'!S19*(1-Assumptions!$D19/100)*(Assumptions!$C19/100/'Benchmark-equivalent supply'!S$3)</f>
        <v>24.98770491803279</v>
      </c>
      <c r="T21" s="32">
        <f>'Seaborne Supply'!T19*(1-Assumptions!$D19/100)*(Assumptions!$C19/100/'Benchmark-equivalent supply'!T$3)</f>
        <v>24.98770491803279</v>
      </c>
      <c r="U21" s="32">
        <f>'Seaborne Supply'!U19*(1-Assumptions!$D19/100)*(Assumptions!$C19/100/'Benchmark-equivalent supply'!U$3)</f>
        <v>23.988196721311478</v>
      </c>
      <c r="V21" s="32">
        <f>'Seaborne Supply'!V19*(1-Assumptions!$D19/100)*(Assumptions!$C19/100/'Benchmark-equivalent supply'!V$3)</f>
        <v>23.988196721311478</v>
      </c>
      <c r="W21" s="32">
        <f>'Seaborne Supply'!W19*(1-Assumptions!$D19/100)*(Assumptions!$C19/100/'Benchmark-equivalent supply'!W$3)</f>
        <v>23.988196721311478</v>
      </c>
      <c r="X21" s="32">
        <f>'Seaborne Supply'!X19*(1-Assumptions!$D19/100)*(Assumptions!$C19/100/'Benchmark-equivalent supply'!X$3)</f>
        <v>23.988196721311478</v>
      </c>
      <c r="Y21" s="32">
        <f>'Seaborne Supply'!Y19*(1-Assumptions!$D19/100)*(Assumptions!$C19/100/'Benchmark-equivalent supply'!Y$3)</f>
        <v>23.988196721311478</v>
      </c>
      <c r="Z21" s="32">
        <f>'Seaborne Supply'!Z19*(1-Assumptions!$D19/100)*(Assumptions!$C19/100/'Benchmark-equivalent supply'!Z$3)</f>
        <v>23.988196721311478</v>
      </c>
      <c r="AA21" s="32">
        <f>'Seaborne Supply'!AA19*(1-Assumptions!$D19/100)*(Assumptions!$C19/100/'Benchmark-equivalent supply'!AA$3)</f>
        <v>23.988196721311478</v>
      </c>
      <c r="AB21" s="32">
        <f>'Seaborne Supply'!AB19*(1-Assumptions!$D19/100)*(Assumptions!$C19/100/'Benchmark-equivalent supply'!AB$3)</f>
        <v>23.988196721311478</v>
      </c>
    </row>
    <row r="22" spans="1:28" x14ac:dyDescent="0.2">
      <c r="A22" s="7" t="s">
        <v>105</v>
      </c>
      <c r="C22" s="32">
        <f>'Seaborne Supply'!C20*(1-Assumptions!$D20/100)*(Assumptions!$C20/100/'Benchmark-equivalent supply'!C$3)</f>
        <v>22.5800129032258</v>
      </c>
      <c r="D22" s="32">
        <f>'Seaborne Supply'!D20*(1-Assumptions!$D20/100)*(Assumptions!$C20/100/'Benchmark-equivalent supply'!D$3)</f>
        <v>22.789087096774189</v>
      </c>
      <c r="E22" s="32">
        <f>'Seaborne Supply'!E20*(1-Assumptions!$D20/100)*(Assumptions!$C20/100/'Benchmark-equivalent supply'!E$3)</f>
        <v>22.998161290322575</v>
      </c>
      <c r="F22" s="32">
        <f>'Seaborne Supply'!F20*(1-Assumptions!$D20/100)*(Assumptions!$C20/100/'Benchmark-equivalent supply'!F$3)</f>
        <v>22.998161290322575</v>
      </c>
      <c r="G22" s="32">
        <f>'Seaborne Supply'!G20*(1-Assumptions!$D20/100)*(Assumptions!$C20/100/'Benchmark-equivalent supply'!G$3)</f>
        <v>25.088903225806447</v>
      </c>
      <c r="H22" s="32">
        <f>'Seaborne Supply'!H20*(1-Assumptions!$D20/100)*(Assumptions!$C20/100/'Benchmark-equivalent supply'!H$3)</f>
        <v>30.315758064516125</v>
      </c>
      <c r="I22" s="32">
        <f>'Seaborne Supply'!I20*(1-Assumptions!$D20/100)*(Assumptions!$C20/100/'Benchmark-equivalent supply'!I$3)</f>
        <v>0.20907419354838705</v>
      </c>
      <c r="J22" s="32">
        <f>'Seaborne Supply'!J20*(1-Assumptions!$D20/100)*(Assumptions!$C20/100/'Benchmark-equivalent supply'!J$3)</f>
        <v>0</v>
      </c>
      <c r="K22" s="32">
        <f>'Seaborne Supply'!K20*(1-Assumptions!$D20/100)*(Assumptions!$C20/100/'Benchmark-equivalent supply'!K$3)</f>
        <v>0</v>
      </c>
      <c r="L22" s="32">
        <f>'Seaborne Supply'!L20*(1-Assumptions!$D20/100)*(Assumptions!$C20/100/'Benchmark-equivalent supply'!L$3)</f>
        <v>0</v>
      </c>
      <c r="M22" s="32">
        <f>'Seaborne Supply'!M20*(1-Assumptions!$D20/100)*(Assumptions!$C20/100/'Benchmark-equivalent supply'!M$3)</f>
        <v>0</v>
      </c>
      <c r="N22" s="32">
        <f>'Seaborne Supply'!N20*(1-Assumptions!$D20/100)*(Assumptions!$C20/100/'Benchmark-equivalent supply'!N$3)</f>
        <v>2.0907419354838703</v>
      </c>
      <c r="O22" s="32">
        <f>'Seaborne Supply'!O20*(1-Assumptions!$D20/100)*(Assumptions!$C20/100/'Benchmark-equivalent supply'!O$3)</f>
        <v>4.1814838709677407</v>
      </c>
      <c r="P22" s="32">
        <f>'Seaborne Supply'!P20*(1-Assumptions!$D20/100)*(Assumptions!$C20/100/'Benchmark-equivalent supply'!P$3)</f>
        <v>9.4083387096774178</v>
      </c>
      <c r="Q22" s="32">
        <f>'Seaborne Supply'!Q20*(1-Assumptions!$D20/100)*(Assumptions!$C20/100/'Benchmark-equivalent supply'!Q$3)</f>
        <v>9.9310241935483852</v>
      </c>
      <c r="R22" s="32">
        <f>'Seaborne Supply'!R20*(1-Assumptions!$D20/100)*(Assumptions!$C20/100/'Benchmark-equivalent supply'!R$3)</f>
        <v>13.380748387096771</v>
      </c>
      <c r="S22" s="32">
        <f>'Seaborne Supply'!S20*(1-Assumptions!$D20/100)*(Assumptions!$C20/100/'Benchmark-equivalent supply'!S$3)</f>
        <v>15.937622950819671</v>
      </c>
      <c r="T22" s="32">
        <f>'Seaborne Supply'!T20*(1-Assumptions!$D20/100)*(Assumptions!$C20/100/'Benchmark-equivalent supply'!T$3)</f>
        <v>19.125147540983605</v>
      </c>
      <c r="U22" s="32">
        <f>'Seaborne Supply'!U20*(1-Assumptions!$D20/100)*(Assumptions!$C20/100/'Benchmark-equivalent supply'!U$3)</f>
        <v>24.437688524590165</v>
      </c>
      <c r="V22" s="32">
        <f>'Seaborne Supply'!V20*(1-Assumptions!$D20/100)*(Assumptions!$C20/100/'Benchmark-equivalent supply'!V$3)</f>
        <v>28.156467213114752</v>
      </c>
      <c r="W22" s="32">
        <f>'Seaborne Supply'!W20*(1-Assumptions!$D20/100)*(Assumptions!$C20/100/'Benchmark-equivalent supply'!W$3)</f>
        <v>28.156467213114752</v>
      </c>
      <c r="X22" s="32">
        <f>'Seaborne Supply'!X20*(1-Assumptions!$D20/100)*(Assumptions!$C20/100/'Benchmark-equivalent supply'!X$3)</f>
        <v>28.156467213114752</v>
      </c>
      <c r="Y22" s="32">
        <f>'Seaborne Supply'!Y20*(1-Assumptions!$D20/100)*(Assumptions!$C20/100/'Benchmark-equivalent supply'!Y$3)</f>
        <v>28.156467213114752</v>
      </c>
      <c r="Z22" s="32">
        <f>'Seaborne Supply'!Z20*(1-Assumptions!$D20/100)*(Assumptions!$C20/100/'Benchmark-equivalent supply'!Z$3)</f>
        <v>28.156467213114752</v>
      </c>
      <c r="AA22" s="32">
        <f>'Seaborne Supply'!AA20*(1-Assumptions!$D20/100)*(Assumptions!$C20/100/'Benchmark-equivalent supply'!AA$3)</f>
        <v>28.156467213114752</v>
      </c>
      <c r="AB22" s="32">
        <f>'Seaborne Supply'!AB20*(1-Assumptions!$D20/100)*(Assumptions!$C20/100/'Benchmark-equivalent supply'!AB$3)</f>
        <v>28.156467213114752</v>
      </c>
    </row>
    <row r="23" spans="1:28" x14ac:dyDescent="0.2">
      <c r="A23" s="7" t="s">
        <v>107</v>
      </c>
      <c r="C23" s="32">
        <f>'Seaborne Supply'!C21*(1-Assumptions!$D21/100)*(Assumptions!$C21/100/'Benchmark-equivalent supply'!C$3)</f>
        <v>27.468790322580649</v>
      </c>
      <c r="D23" s="32">
        <f>'Seaborne Supply'!D21*(1-Assumptions!$D21/100)*(Assumptions!$C21/100/'Benchmark-equivalent supply'!D$3)</f>
        <v>27.468790322580649</v>
      </c>
      <c r="E23" s="32">
        <f>'Seaborne Supply'!E21*(1-Assumptions!$D21/100)*(Assumptions!$C21/100/'Benchmark-equivalent supply'!E$3)</f>
        <v>27.785737903225812</v>
      </c>
      <c r="F23" s="32">
        <f>'Seaborne Supply'!F21*(1-Assumptions!$D21/100)*(Assumptions!$C21/100/'Benchmark-equivalent supply'!F$3)</f>
        <v>26.940544354838714</v>
      </c>
      <c r="G23" s="32">
        <f>'Seaborne Supply'!G21*(1-Assumptions!$D21/100)*(Assumptions!$C21/100/'Benchmark-equivalent supply'!G$3)</f>
        <v>27.468790322580649</v>
      </c>
      <c r="H23" s="32">
        <f>'Seaborne Supply'!H21*(1-Assumptions!$D21/100)*(Assumptions!$C21/100/'Benchmark-equivalent supply'!H$3)</f>
        <v>25.567104838709682</v>
      </c>
      <c r="I23" s="32">
        <f>'Seaborne Supply'!I21*(1-Assumptions!$D21/100)*(Assumptions!$C21/100/'Benchmark-equivalent supply'!I$3)</f>
        <v>28.525282258064518</v>
      </c>
      <c r="J23" s="32">
        <f>'Seaborne Supply'!J21*(1-Assumptions!$D21/100)*(Assumptions!$C21/100/'Benchmark-equivalent supply'!J$3)</f>
        <v>29.159177419354844</v>
      </c>
      <c r="K23" s="32">
        <f>'Seaborne Supply'!K21*(1-Assumptions!$D21/100)*(Assumptions!$C21/100/'Benchmark-equivalent supply'!K$3)</f>
        <v>28.313983870967746</v>
      </c>
      <c r="L23" s="32">
        <f>'Seaborne Supply'!L21*(1-Assumptions!$D21/100)*(Assumptions!$C21/100/'Benchmark-equivalent supply'!L$3)</f>
        <v>26.306649193548388</v>
      </c>
      <c r="M23" s="32">
        <f>'Seaborne Supply'!M21*(1-Assumptions!$D21/100)*(Assumptions!$C21/100/'Benchmark-equivalent supply'!M$3)</f>
        <v>30.110020161290326</v>
      </c>
      <c r="N23" s="32">
        <f>'Seaborne Supply'!N21*(1-Assumptions!$D21/100)*(Assumptions!$C21/100/'Benchmark-equivalent supply'!N$3)</f>
        <v>28.525282258064518</v>
      </c>
      <c r="O23" s="32">
        <f>'Seaborne Supply'!O21*(1-Assumptions!$D21/100)*(Assumptions!$C21/100/'Benchmark-equivalent supply'!O$3)</f>
        <v>27.257491935483877</v>
      </c>
      <c r="P23" s="32">
        <f>'Seaborne Supply'!P21*(1-Assumptions!$D21/100)*(Assumptions!$C21/100/'Benchmark-equivalent supply'!P$3)</f>
        <v>26.729245967741939</v>
      </c>
      <c r="Q23" s="32">
        <f>'Seaborne Supply'!Q21*(1-Assumptions!$D21/100)*(Assumptions!$C21/100/'Benchmark-equivalent supply'!Q$3)</f>
        <v>23.137173387096773</v>
      </c>
      <c r="R23" s="32">
        <f>'Seaborne Supply'!R21*(1-Assumptions!$D21/100)*(Assumptions!$C21/100/'Benchmark-equivalent supply'!R$3)</f>
        <v>27.257491935483877</v>
      </c>
      <c r="S23" s="32">
        <f>'Seaborne Supply'!S21*(1-Assumptions!$D21/100)*(Assumptions!$C21/100/'Benchmark-equivalent supply'!S$3)</f>
        <v>25.5567131147541</v>
      </c>
      <c r="T23" s="32">
        <f>'Seaborne Supply'!T21*(1-Assumptions!$D21/100)*(Assumptions!$C21/100/'Benchmark-equivalent supply'!T$3)</f>
        <v>27.70433606557377</v>
      </c>
      <c r="U23" s="32">
        <f>'Seaborne Supply'!U21*(1-Assumptions!$D21/100)*(Assumptions!$C21/100/'Benchmark-equivalent supply'!U$3)</f>
        <v>28.456004098360655</v>
      </c>
      <c r="V23" s="32">
        <f>'Seaborne Supply'!V21*(1-Assumptions!$D21/100)*(Assumptions!$C21/100/'Benchmark-equivalent supply'!V$3)</f>
        <v>28.992909836065571</v>
      </c>
      <c r="W23" s="32">
        <f>'Seaborne Supply'!W21*(1-Assumptions!$D21/100)*(Assumptions!$C21/100/'Benchmark-equivalent supply'!W$3)</f>
        <v>30.066721311475408</v>
      </c>
      <c r="X23" s="32">
        <f>'Seaborne Supply'!X21*(1-Assumptions!$D21/100)*(Assumptions!$C21/100/'Benchmark-equivalent supply'!X$3)</f>
        <v>31.140532786885245</v>
      </c>
      <c r="Y23" s="32">
        <f>'Seaborne Supply'!Y21*(1-Assumptions!$D21/100)*(Assumptions!$C21/100/'Benchmark-equivalent supply'!Y$3)</f>
        <v>32.214344262295086</v>
      </c>
      <c r="Z23" s="32">
        <f>'Seaborne Supply'!Z21*(1-Assumptions!$D21/100)*(Assumptions!$C21/100/'Benchmark-equivalent supply'!Z$3)</f>
        <v>34.361967213114752</v>
      </c>
      <c r="AA23" s="32">
        <f>'Seaborne Supply'!AA21*(1-Assumptions!$D21/100)*(Assumptions!$C21/100/'Benchmark-equivalent supply'!AA$3)</f>
        <v>34.361967213114752</v>
      </c>
      <c r="AB23" s="32">
        <f>'Seaborne Supply'!AB21*(1-Assumptions!$D21/100)*(Assumptions!$C21/100/'Benchmark-equivalent supply'!AB$3)</f>
        <v>34.361967213114752</v>
      </c>
    </row>
    <row r="24" spans="1:28" x14ac:dyDescent="0.2">
      <c r="A24" s="7" t="s">
        <v>110</v>
      </c>
      <c r="C24" s="32">
        <f>'Seaborne Supply'!C22*(1-Assumptions!$D22/100)*(Assumptions!$C22/100/'Benchmark-equivalent supply'!C$3)</f>
        <v>10.474838709677417</v>
      </c>
      <c r="D24" s="32">
        <f>'Seaborne Supply'!D22*(1-Assumptions!$D22/100)*(Assumptions!$C22/100/'Benchmark-equivalent supply'!D$3)</f>
        <v>10.474838709677417</v>
      </c>
      <c r="E24" s="32">
        <f>'Seaborne Supply'!E22*(1-Assumptions!$D22/100)*(Assumptions!$C22/100/'Benchmark-equivalent supply'!E$3)</f>
        <v>10.950967741935482</v>
      </c>
      <c r="F24" s="32">
        <f>'Seaborne Supply'!F22*(1-Assumptions!$D22/100)*(Assumptions!$C22/100/'Benchmark-equivalent supply'!F$3)</f>
        <v>12.379354838709679</v>
      </c>
      <c r="G24" s="32">
        <f>'Seaborne Supply'!G22*(1-Assumptions!$D22/100)*(Assumptions!$C22/100/'Benchmark-equivalent supply'!G$3)</f>
        <v>12.379354838709679</v>
      </c>
      <c r="H24" s="32">
        <f>'Seaborne Supply'!H22*(1-Assumptions!$D22/100)*(Assumptions!$C22/100/'Benchmark-equivalent supply'!H$3)</f>
        <v>11.046193548387096</v>
      </c>
      <c r="I24" s="32">
        <f>'Seaborne Supply'!I22*(1-Assumptions!$D22/100)*(Assumptions!$C22/100/'Benchmark-equivalent supply'!I$3)</f>
        <v>12.665032258064517</v>
      </c>
      <c r="J24" s="32">
        <f>'Seaborne Supply'!J22*(1-Assumptions!$D22/100)*(Assumptions!$C22/100/'Benchmark-equivalent supply'!J$3)</f>
        <v>11.141419354838709</v>
      </c>
      <c r="K24" s="32">
        <f>'Seaborne Supply'!K22*(1-Assumptions!$D22/100)*(Assumptions!$C22/100/'Benchmark-equivalent supply'!K$3)</f>
        <v>10.76051612903226</v>
      </c>
      <c r="L24" s="32">
        <f>'Seaborne Supply'!L22*(1-Assumptions!$D22/100)*(Assumptions!$C22/100/'Benchmark-equivalent supply'!L$3)</f>
        <v>11.427096774193547</v>
      </c>
      <c r="M24" s="32">
        <f>'Seaborne Supply'!M22*(1-Assumptions!$D22/100)*(Assumptions!$C22/100/'Benchmark-equivalent supply'!M$3)</f>
        <v>11.903225806451612</v>
      </c>
      <c r="N24" s="32">
        <f>'Seaborne Supply'!N22*(1-Assumptions!$D22/100)*(Assumptions!$C22/100/'Benchmark-equivalent supply'!N$3)</f>
        <v>12.093677419354837</v>
      </c>
      <c r="O24" s="32">
        <f>'Seaborne Supply'!O22*(1-Assumptions!$D22/100)*(Assumptions!$C22/100/'Benchmark-equivalent supply'!O$3)</f>
        <v>12.665032258064517</v>
      </c>
      <c r="P24" s="32">
        <f>'Seaborne Supply'!P22*(1-Assumptions!$D22/100)*(Assumptions!$C22/100/'Benchmark-equivalent supply'!P$3)</f>
        <v>13.426838709677419</v>
      </c>
      <c r="Q24" s="32">
        <f>'Seaborne Supply'!Q22*(1-Assumptions!$D22/100)*(Assumptions!$C22/100/'Benchmark-equivalent supply'!Q$3)</f>
        <v>13.522064516129031</v>
      </c>
      <c r="R24" s="32">
        <f>'Seaborne Supply'!R22*(1-Assumptions!$D22/100)*(Assumptions!$C22/100/'Benchmark-equivalent supply'!R$3)</f>
        <v>13.617290322580645</v>
      </c>
      <c r="S24" s="32">
        <f>'Seaborne Supply'!S22*(1-Assumptions!$D22/100)*(Assumptions!$C22/100/'Benchmark-equivalent supply'!S$3)</f>
        <v>14.227672131147537</v>
      </c>
      <c r="T24" s="32">
        <f>'Seaborne Supply'!T22*(1-Assumptions!$D22/100)*(Assumptions!$C22/100/'Benchmark-equivalent supply'!T$3)</f>
        <v>15.969836065573769</v>
      </c>
      <c r="U24" s="32">
        <f>'Seaborne Supply'!U22*(1-Assumptions!$D22/100)*(Assumptions!$C22/100/'Benchmark-equivalent supply'!U$3)</f>
        <v>17.905573770491799</v>
      </c>
      <c r="V24" s="32">
        <f>'Seaborne Supply'!V22*(1-Assumptions!$D22/100)*(Assumptions!$C22/100/'Benchmark-equivalent supply'!V$3)</f>
        <v>19.841311475409835</v>
      </c>
      <c r="W24" s="32">
        <f>'Seaborne Supply'!W22*(1-Assumptions!$D22/100)*(Assumptions!$C22/100/'Benchmark-equivalent supply'!W$3)</f>
        <v>21.777049180327865</v>
      </c>
      <c r="X24" s="32">
        <f>'Seaborne Supply'!X22*(1-Assumptions!$D22/100)*(Assumptions!$C22/100/'Benchmark-equivalent supply'!X$3)</f>
        <v>23.228852459016391</v>
      </c>
      <c r="Y24" s="32">
        <f>'Seaborne Supply'!Y22*(1-Assumptions!$D22/100)*(Assumptions!$C22/100/'Benchmark-equivalent supply'!Y$3)</f>
        <v>23.228852459016391</v>
      </c>
      <c r="Z24" s="32">
        <f>'Seaborne Supply'!Z22*(1-Assumptions!$D22/100)*(Assumptions!$C22/100/'Benchmark-equivalent supply'!Z$3)</f>
        <v>23.228852459016391</v>
      </c>
      <c r="AA24" s="32">
        <f>'Seaborne Supply'!AA22*(1-Assumptions!$D22/100)*(Assumptions!$C22/100/'Benchmark-equivalent supply'!AA$3)</f>
        <v>23.228852459016391</v>
      </c>
      <c r="AB24" s="32">
        <f>'Seaborne Supply'!AB22*(1-Assumptions!$D22/100)*(Assumptions!$C22/100/'Benchmark-equivalent supply'!AB$3)</f>
        <v>23.228852459016391</v>
      </c>
    </row>
    <row r="25" spans="1:28" x14ac:dyDescent="0.2">
      <c r="A25" s="7" t="s">
        <v>115</v>
      </c>
      <c r="C25" s="32">
        <f>'Seaborne Supply'!C23*(1-Assumptions!$D23/100)*(Assumptions!$C23/100/'Benchmark-equivalent supply'!C$3)</f>
        <v>8.1523870967741949</v>
      </c>
      <c r="D25" s="32">
        <f>'Seaborne Supply'!D23*(1-Assumptions!$D23/100)*(Assumptions!$C23/100/'Benchmark-equivalent supply'!D$3)</f>
        <v>9.4448387096774216</v>
      </c>
      <c r="E25" s="32">
        <f>'Seaborne Supply'!E23*(1-Assumptions!$D23/100)*(Assumptions!$C23/100/'Benchmark-equivalent supply'!E$3)</f>
        <v>9.8425161290322603</v>
      </c>
      <c r="F25" s="32">
        <f>'Seaborne Supply'!F23*(1-Assumptions!$D23/100)*(Assumptions!$C23/100/'Benchmark-equivalent supply'!F$3)</f>
        <v>10.439032258064518</v>
      </c>
      <c r="G25" s="32">
        <f>'Seaborne Supply'!G23*(1-Assumptions!$D23/100)*(Assumptions!$C23/100/'Benchmark-equivalent supply'!G$3)</f>
        <v>10.637870967741936</v>
      </c>
      <c r="H25" s="32">
        <f>'Seaborne Supply'!H23*(1-Assumptions!$D23/100)*(Assumptions!$C23/100/'Benchmark-equivalent supply'!H$3)</f>
        <v>11.035548387096776</v>
      </c>
      <c r="I25" s="32">
        <f>'Seaborne Supply'!I23*(1-Assumptions!$D23/100)*(Assumptions!$C23/100/'Benchmark-equivalent supply'!I$3)</f>
        <v>11.632064516129033</v>
      </c>
      <c r="J25" s="32">
        <f>'Seaborne Supply'!J23*(1-Assumptions!$D23/100)*(Assumptions!$C23/100/'Benchmark-equivalent supply'!J$3)</f>
        <v>12.82509677419355</v>
      </c>
      <c r="K25" s="32">
        <f>'Seaborne Supply'!K23*(1-Assumptions!$D23/100)*(Assumptions!$C23/100/'Benchmark-equivalent supply'!K$3)</f>
        <v>14.614645161290325</v>
      </c>
      <c r="L25" s="32">
        <f>'Seaborne Supply'!L23*(1-Assumptions!$D23/100)*(Assumptions!$C23/100/'Benchmark-equivalent supply'!L$3)</f>
        <v>16.00651612903226</v>
      </c>
      <c r="M25" s="32">
        <f>'Seaborne Supply'!M23*(1-Assumptions!$D23/100)*(Assumptions!$C23/100/'Benchmark-equivalent supply'!M$3)</f>
        <v>13.719870967741938</v>
      </c>
      <c r="N25" s="32">
        <f>'Seaborne Supply'!N23*(1-Assumptions!$D23/100)*(Assumptions!$C23/100/'Benchmark-equivalent supply'!N$3)</f>
        <v>17.398387096774197</v>
      </c>
      <c r="O25" s="32">
        <f>'Seaborne Supply'!O23*(1-Assumptions!$D23/100)*(Assumptions!$C23/100/'Benchmark-equivalent supply'!O$3)</f>
        <v>18.492000000000004</v>
      </c>
      <c r="P25" s="32">
        <f>'Seaborne Supply'!P23*(1-Assumptions!$D23/100)*(Assumptions!$C23/100/'Benchmark-equivalent supply'!P$3)</f>
        <v>18.790258064516131</v>
      </c>
      <c r="Q25" s="32">
        <f>'Seaborne Supply'!Q23*(1-Assumptions!$D23/100)*(Assumptions!$C23/100/'Benchmark-equivalent supply'!Q$3)</f>
        <v>19.685032258064521</v>
      </c>
      <c r="R25" s="32">
        <f>'Seaborne Supply'!R23*(1-Assumptions!$D23/100)*(Assumptions!$C23/100/'Benchmark-equivalent supply'!R$3)</f>
        <v>16.105935483870969</v>
      </c>
      <c r="S25" s="32">
        <f>'Seaborne Supply'!S23*(1-Assumptions!$D23/100)*(Assumptions!$C23/100/'Benchmark-equivalent supply'!S$3)</f>
        <v>19.70459016393443</v>
      </c>
      <c r="T25" s="32">
        <f>'Seaborne Supply'!T23*(1-Assumptions!$D23/100)*(Assumptions!$C23/100/'Benchmark-equivalent supply'!T$3)</f>
        <v>22.230819672131151</v>
      </c>
      <c r="U25" s="32">
        <f>'Seaborne Supply'!U23*(1-Assumptions!$D23/100)*(Assumptions!$C23/100/'Benchmark-equivalent supply'!U$3)</f>
        <v>24.251803278688531</v>
      </c>
      <c r="V25" s="32">
        <f>'Seaborne Supply'!V23*(1-Assumptions!$D23/100)*(Assumptions!$C23/100/'Benchmark-equivalent supply'!V$3)</f>
        <v>24.757049180327876</v>
      </c>
      <c r="W25" s="32">
        <f>'Seaborne Supply'!W23*(1-Assumptions!$D23/100)*(Assumptions!$C23/100/'Benchmark-equivalent supply'!W$3)</f>
        <v>24.757049180327876</v>
      </c>
      <c r="X25" s="32">
        <f>'Seaborne Supply'!X23*(1-Assumptions!$D23/100)*(Assumptions!$C23/100/'Benchmark-equivalent supply'!X$3)</f>
        <v>24.757049180327876</v>
      </c>
      <c r="Y25" s="32">
        <f>'Seaborne Supply'!Y23*(1-Assumptions!$D23/100)*(Assumptions!$C23/100/'Benchmark-equivalent supply'!Y$3)</f>
        <v>24.757049180327876</v>
      </c>
      <c r="Z25" s="32">
        <f>'Seaborne Supply'!Z23*(1-Assumptions!$D23/100)*(Assumptions!$C23/100/'Benchmark-equivalent supply'!Z$3)</f>
        <v>24.757049180327876</v>
      </c>
      <c r="AA25" s="32">
        <f>'Seaborne Supply'!AA23*(1-Assumptions!$D23/100)*(Assumptions!$C23/100/'Benchmark-equivalent supply'!AA$3)</f>
        <v>24.757049180327876</v>
      </c>
      <c r="AB25" s="32">
        <f>'Seaborne Supply'!AB23*(1-Assumptions!$D23/100)*(Assumptions!$C23/100/'Benchmark-equivalent supply'!AB$3)</f>
        <v>24.757049180327876</v>
      </c>
    </row>
    <row r="26" spans="1:28" x14ac:dyDescent="0.2">
      <c r="A26" s="7" t="s">
        <v>153</v>
      </c>
      <c r="C26" s="32">
        <f>'Seaborne Supply'!C24*(1-Assumptions!$D24/100)*(Assumptions!$C24/100/'Benchmark-equivalent supply'!C$3)</f>
        <v>3.4932258064516124</v>
      </c>
      <c r="D26" s="32">
        <f>'Seaborne Supply'!D24*(1-Assumptions!$D24/100)*(Assumptions!$C24/100/'Benchmark-equivalent supply'!D$3)</f>
        <v>4.8288709677419348</v>
      </c>
      <c r="E26" s="32">
        <f>'Seaborne Supply'!E24*(1-Assumptions!$D24/100)*(Assumptions!$C24/100/'Benchmark-equivalent supply'!E$3)</f>
        <v>5.1370967741935489</v>
      </c>
      <c r="F26" s="32">
        <f>'Seaborne Supply'!F24*(1-Assumptions!$D24/100)*(Assumptions!$C24/100/'Benchmark-equivalent supply'!F$3)</f>
        <v>5.8562903225806453</v>
      </c>
      <c r="G26" s="32">
        <f>'Seaborne Supply'!G24*(1-Assumptions!$D24/100)*(Assumptions!$C24/100/'Benchmark-equivalent supply'!G$3)</f>
        <v>5.8562903225806453</v>
      </c>
      <c r="H26" s="32">
        <f>'Seaborne Supply'!H24*(1-Assumptions!$D24/100)*(Assumptions!$C24/100/'Benchmark-equivalent supply'!H$3)</f>
        <v>5.9590322580645161</v>
      </c>
      <c r="I26" s="32">
        <f>'Seaborne Supply'!I24*(1-Assumptions!$D24/100)*(Assumptions!$C24/100/'Benchmark-equivalent supply'!I$3)</f>
        <v>6.2672580645161284</v>
      </c>
      <c r="J26" s="32">
        <f>'Seaborne Supply'!J24*(1-Assumptions!$D24/100)*(Assumptions!$C24/100/'Benchmark-equivalent supply'!J$3)</f>
        <v>5.4453225806451613</v>
      </c>
      <c r="K26" s="32">
        <f>'Seaborne Supply'!K24*(1-Assumptions!$D24/100)*(Assumptions!$C24/100/'Benchmark-equivalent supply'!K$3)</f>
        <v>5.5480645161290321</v>
      </c>
      <c r="L26" s="32">
        <f>'Seaborne Supply'!L24*(1-Assumptions!$D24/100)*(Assumptions!$C24/100/'Benchmark-equivalent supply'!L$3)</f>
        <v>6.7809677419354832</v>
      </c>
      <c r="M26" s="32">
        <f>'Seaborne Supply'!M24*(1-Assumptions!$D24/100)*(Assumptions!$C24/100/'Benchmark-equivalent supply'!M$3)</f>
        <v>7.8083870967741928</v>
      </c>
      <c r="N26" s="32">
        <f>'Seaborne Supply'!N24*(1-Assumptions!$D24/100)*(Assumptions!$C24/100/'Benchmark-equivalent supply'!N$3)</f>
        <v>4.8288709677419348</v>
      </c>
      <c r="O26" s="32">
        <f>'Seaborne Supply'!O24*(1-Assumptions!$D24/100)*(Assumptions!$C24/100/'Benchmark-equivalent supply'!O$3)</f>
        <v>1.0274193548387096</v>
      </c>
      <c r="P26" s="32">
        <f>'Seaborne Supply'!P24*(1-Assumptions!$D24/100)*(Assumptions!$C24/100/'Benchmark-equivalent supply'!P$3)</f>
        <v>1.3356451612903226</v>
      </c>
      <c r="Q26" s="32">
        <f>'Seaborne Supply'!Q24*(1-Assumptions!$D24/100)*(Assumptions!$C24/100/'Benchmark-equivalent supply'!Q$3)</f>
        <v>3.4932258064516124</v>
      </c>
      <c r="R26" s="32">
        <f>'Seaborne Supply'!R24*(1-Assumptions!$D24/100)*(Assumptions!$C24/100/'Benchmark-equivalent supply'!R$3)</f>
        <v>3.4932258064516124</v>
      </c>
      <c r="S26" s="32">
        <f>'Seaborne Supply'!S24*(1-Assumptions!$D24/100)*(Assumptions!$C24/100/'Benchmark-equivalent supply'!S$3)</f>
        <v>0.41770491803278692</v>
      </c>
      <c r="T26" s="32">
        <f>'Seaborne Supply'!T24*(1-Assumptions!$D24/100)*(Assumptions!$C24/100/'Benchmark-equivalent supply'!T$3)</f>
        <v>1.5663934426229509</v>
      </c>
      <c r="U26" s="32">
        <f>'Seaborne Supply'!U24*(1-Assumptions!$D24/100)*(Assumptions!$C24/100/'Benchmark-equivalent supply'!U$3)</f>
        <v>3.1327868852459018</v>
      </c>
      <c r="V26" s="32">
        <f>'Seaborne Supply'!V24*(1-Assumptions!$D24/100)*(Assumptions!$C24/100/'Benchmark-equivalent supply'!V$3)</f>
        <v>4.1770491803278693</v>
      </c>
      <c r="W26" s="32">
        <f>'Seaborne Supply'!W24*(1-Assumptions!$D24/100)*(Assumptions!$C24/100/'Benchmark-equivalent supply'!W$3)</f>
        <v>5.0124590163934428</v>
      </c>
      <c r="X26" s="32">
        <f>'Seaborne Supply'!X24*(1-Assumptions!$D24/100)*(Assumptions!$C24/100/'Benchmark-equivalent supply'!X$3)</f>
        <v>5.43016393442623</v>
      </c>
      <c r="Y26" s="32">
        <f>'Seaborne Supply'!Y24*(1-Assumptions!$D24/100)*(Assumptions!$C24/100/'Benchmark-equivalent supply'!Y$3)</f>
        <v>5.7434426229508198</v>
      </c>
      <c r="Z26" s="32">
        <f>'Seaborne Supply'!Z24*(1-Assumptions!$D24/100)*(Assumptions!$C24/100/'Benchmark-equivalent supply'!Z$3)</f>
        <v>5.7434426229508198</v>
      </c>
      <c r="AA26" s="32">
        <f>'Seaborne Supply'!AA24*(1-Assumptions!$D24/100)*(Assumptions!$C24/100/'Benchmark-equivalent supply'!AA$3)</f>
        <v>5.7434426229508198</v>
      </c>
      <c r="AB26" s="32">
        <f>'Seaborne Supply'!AB24*(1-Assumptions!$D24/100)*(Assumptions!$C24/100/'Benchmark-equivalent supply'!AB$3)</f>
        <v>5.7434426229508198</v>
      </c>
    </row>
    <row r="27" spans="1:28" x14ac:dyDescent="0.2">
      <c r="A27" s="7" t="s">
        <v>154</v>
      </c>
      <c r="C27" s="32">
        <f>'Seaborne Supply'!C25*(1-Assumptions!$D25/100)*(Assumptions!$C25/100/'Benchmark-equivalent supply'!C$3)</f>
        <v>5.9652096774193533</v>
      </c>
      <c r="D27" s="32">
        <f>'Seaborne Supply'!D25*(1-Assumptions!$D25/100)*(Assumptions!$C25/100/'Benchmark-equivalent supply'!D$3)</f>
        <v>7.1386935483870957</v>
      </c>
      <c r="E27" s="32">
        <f>'Seaborne Supply'!E25*(1-Assumptions!$D25/100)*(Assumptions!$C25/100/'Benchmark-equivalent supply'!E$3)</f>
        <v>6.3563709677419347</v>
      </c>
      <c r="F27" s="32">
        <f>'Seaborne Supply'!F25*(1-Assumptions!$D25/100)*(Assumptions!$C25/100/'Benchmark-equivalent supply'!F$3)</f>
        <v>8.0188064516129014</v>
      </c>
      <c r="G27" s="32">
        <f>'Seaborne Supply'!G25*(1-Assumptions!$D25/100)*(Assumptions!$C25/100/'Benchmark-equivalent supply'!G$3)</f>
        <v>10.659145161290322</v>
      </c>
      <c r="H27" s="32">
        <f>'Seaborne Supply'!H25*(1-Assumptions!$D25/100)*(Assumptions!$C25/100/'Benchmark-equivalent supply'!H$3)</f>
        <v>9.7790322580645146</v>
      </c>
      <c r="I27" s="32">
        <f>'Seaborne Supply'!I25*(1-Assumptions!$D25/100)*(Assumptions!$C25/100/'Benchmark-equivalent supply'!I$3)</f>
        <v>5.5740483870967736</v>
      </c>
      <c r="J27" s="32">
        <f>'Seaborne Supply'!J25*(1-Assumptions!$D25/100)*(Assumptions!$C25/100/'Benchmark-equivalent supply'!J$3)</f>
        <v>3.6182419354838706</v>
      </c>
      <c r="K27" s="32">
        <f>'Seaborne Supply'!K25*(1-Assumptions!$D25/100)*(Assumptions!$C25/100/'Benchmark-equivalent supply'!K$3)</f>
        <v>1.955806451612903</v>
      </c>
      <c r="L27" s="32">
        <f>'Seaborne Supply'!L25*(1-Assumptions!$D25/100)*(Assumptions!$C25/100/'Benchmark-equivalent supply'!L$3)</f>
        <v>4.0094032258064507</v>
      </c>
      <c r="M27" s="32">
        <f>'Seaborne Supply'!M25*(1-Assumptions!$D25/100)*(Assumptions!$C25/100/'Benchmark-equivalent supply'!M$3)</f>
        <v>7.7254354838709673</v>
      </c>
      <c r="N27" s="32">
        <f>'Seaborne Supply'!N25*(1-Assumptions!$D25/100)*(Assumptions!$C25/100/'Benchmark-equivalent supply'!N$3)</f>
        <v>4.3027741935483874</v>
      </c>
      <c r="O27" s="32">
        <f>'Seaborne Supply'!O25*(1-Assumptions!$D25/100)*(Assumptions!$C25/100/'Benchmark-equivalent supply'!O$3)</f>
        <v>2.3469677419354835</v>
      </c>
      <c r="P27" s="32">
        <f>'Seaborne Supply'!P25*(1-Assumptions!$D25/100)*(Assumptions!$C25/100/'Benchmark-equivalent supply'!P$3)</f>
        <v>1.955806451612903</v>
      </c>
      <c r="Q27" s="32">
        <f>'Seaborne Supply'!Q25*(1-Assumptions!$D25/100)*(Assumptions!$C25/100/'Benchmark-equivalent supply'!Q$3)</f>
        <v>11.245887096774192</v>
      </c>
      <c r="R27" s="32">
        <f>'Seaborne Supply'!R25*(1-Assumptions!$D25/100)*(Assumptions!$C25/100/'Benchmark-equivalent supply'!R$3)</f>
        <v>10.952516129032256</v>
      </c>
      <c r="S27" s="32">
        <f>'Seaborne Supply'!S25*(1-Assumptions!$D25/100)*(Assumptions!$C25/100/'Benchmark-equivalent supply'!S$3)</f>
        <v>7.4545081967213109</v>
      </c>
      <c r="T27" s="32">
        <f>'Seaborne Supply'!T25*(1-Assumptions!$D25/100)*(Assumptions!$C25/100/'Benchmark-equivalent supply'!T$3)</f>
        <v>8.9454098360655721</v>
      </c>
      <c r="U27" s="32">
        <f>'Seaborne Supply'!U25*(1-Assumptions!$D25/100)*(Assumptions!$C25/100/'Benchmark-equivalent supply'!U$3)</f>
        <v>10.436311475409834</v>
      </c>
      <c r="V27" s="32">
        <f>'Seaborne Supply'!V25*(1-Assumptions!$D25/100)*(Assumptions!$C25/100/'Benchmark-equivalent supply'!V$3)</f>
        <v>10.93327868852459</v>
      </c>
      <c r="W27" s="32">
        <f>'Seaborne Supply'!W25*(1-Assumptions!$D25/100)*(Assumptions!$C25/100/'Benchmark-equivalent supply'!W$3)</f>
        <v>11.430245901639342</v>
      </c>
      <c r="X27" s="32">
        <f>'Seaborne Supply'!X25*(1-Assumptions!$D25/100)*(Assumptions!$C25/100/'Benchmark-equivalent supply'!X$3)</f>
        <v>11.629032786885245</v>
      </c>
      <c r="Y27" s="32">
        <f>'Seaborne Supply'!Y25*(1-Assumptions!$D25/100)*(Assumptions!$C25/100/'Benchmark-equivalent supply'!Y$3)</f>
        <v>11.927213114754098</v>
      </c>
      <c r="Z27" s="32">
        <f>'Seaborne Supply'!Z25*(1-Assumptions!$D25/100)*(Assumptions!$C25/100/'Benchmark-equivalent supply'!Z$3)</f>
        <v>11.927213114754098</v>
      </c>
      <c r="AA27" s="32">
        <f>'Seaborne Supply'!AA25*(1-Assumptions!$D25/100)*(Assumptions!$C25/100/'Benchmark-equivalent supply'!AA$3)</f>
        <v>11.927213114754098</v>
      </c>
      <c r="AB27" s="32">
        <f>'Seaborne Supply'!AB25*(1-Assumptions!$D25/100)*(Assumptions!$C25/100/'Benchmark-equivalent supply'!AB$3)</f>
        <v>11.927213114754098</v>
      </c>
    </row>
    <row r="28" spans="1:28" x14ac:dyDescent="0.2">
      <c r="A28" s="7" t="s">
        <v>169</v>
      </c>
      <c r="C28" s="32">
        <f>'Seaborne Supply'!C26*(1-Assumptions!$D26/100)*(Assumptions!$C26/100/'Benchmark-equivalent supply'!C$3)</f>
        <v>22.368427419354838</v>
      </c>
      <c r="D28" s="32">
        <f>'Seaborne Supply'!D26*(1-Assumptions!$D26/100)*(Assumptions!$C26/100/'Benchmark-equivalent supply'!D$3)</f>
        <v>14.857258064516127</v>
      </c>
      <c r="E28" s="32">
        <f>'Seaborne Supply'!E26*(1-Assumptions!$D26/100)*(Assumptions!$C26/100/'Benchmark-equivalent supply'!E$3)</f>
        <v>12.793749999999999</v>
      </c>
      <c r="F28" s="32">
        <f>'Seaborne Supply'!F26*(1-Assumptions!$D26/100)*(Assumptions!$C26/100/'Benchmark-equivalent supply'!F$3)</f>
        <v>1.8158870967741936</v>
      </c>
      <c r="G28" s="32">
        <f>'Seaborne Supply'!G26*(1-Assumptions!$D26/100)*(Assumptions!$C26/100/'Benchmark-equivalent supply'!G$3)</f>
        <v>0</v>
      </c>
      <c r="H28" s="32">
        <f>'Seaborne Supply'!H26*(1-Assumptions!$D26/100)*(Assumptions!$C26/100/'Benchmark-equivalent supply'!H$3)</f>
        <v>0</v>
      </c>
      <c r="I28" s="32">
        <f>'Seaborne Supply'!I26*(1-Assumptions!$D26/100)*(Assumptions!$C26/100/'Benchmark-equivalent supply'!I$3)</f>
        <v>1.8984274193548383</v>
      </c>
      <c r="J28" s="32">
        <f>'Seaborne Supply'!J26*(1-Assumptions!$D26/100)*(Assumptions!$C26/100/'Benchmark-equivalent supply'!J$3)</f>
        <v>6.0254435483870967</v>
      </c>
      <c r="K28" s="32">
        <f>'Seaborne Supply'!K26*(1-Assumptions!$D26/100)*(Assumptions!$C26/100/'Benchmark-equivalent supply'!K$3)</f>
        <v>2.7238306451612901</v>
      </c>
      <c r="L28" s="32">
        <f>'Seaborne Supply'!L26*(1-Assumptions!$D26/100)*(Assumptions!$C26/100/'Benchmark-equivalent supply'!L$3)</f>
        <v>1.0730241935483871</v>
      </c>
      <c r="M28" s="32">
        <f>'Seaborne Supply'!M26*(1-Assumptions!$D26/100)*(Assumptions!$C26/100/'Benchmark-equivalent supply'!M$3)</f>
        <v>0.7428629032258065</v>
      </c>
      <c r="N28" s="32">
        <f>'Seaborne Supply'!N26*(1-Assumptions!$D26/100)*(Assumptions!$C26/100/'Benchmark-equivalent supply'!N$3)</f>
        <v>1.7333467741935484</v>
      </c>
      <c r="O28" s="32">
        <f>'Seaborne Supply'!O26*(1-Assumptions!$D26/100)*(Assumptions!$C26/100/'Benchmark-equivalent supply'!O$3)</f>
        <v>0.90794354838709679</v>
      </c>
      <c r="P28" s="32">
        <f>'Seaborne Supply'!P26*(1-Assumptions!$D26/100)*(Assumptions!$C26/100/'Benchmark-equivalent supply'!P$3)</f>
        <v>1.8158870967741936</v>
      </c>
      <c r="Q28" s="32">
        <f>'Seaborne Supply'!Q26*(1-Assumptions!$D26/100)*(Assumptions!$C26/100/'Benchmark-equivalent supply'!Q$3)</f>
        <v>3.9619354838709677</v>
      </c>
      <c r="R28" s="32">
        <f>'Seaborne Supply'!R26*(1-Assumptions!$D26/100)*(Assumptions!$C26/100/'Benchmark-equivalent supply'!R$3)</f>
        <v>1.8158870967741936</v>
      </c>
      <c r="S28" s="32">
        <f>'Seaborne Supply'!S26*(1-Assumptions!$D26/100)*(Assumptions!$C26/100/'Benchmark-equivalent supply'!S$3)</f>
        <v>2.5168032786885242</v>
      </c>
      <c r="T28" s="32">
        <f>'Seaborne Supply'!T26*(1-Assumptions!$D26/100)*(Assumptions!$C26/100/'Benchmark-equivalent supply'!T$3)</f>
        <v>3.1040573770491804</v>
      </c>
      <c r="U28" s="32">
        <f>'Seaborne Supply'!U26*(1-Assumptions!$D26/100)*(Assumptions!$C26/100/'Benchmark-equivalent supply'!U$3)</f>
        <v>3.1040573770491804</v>
      </c>
      <c r="V28" s="32">
        <f>'Seaborne Supply'!V26*(1-Assumptions!$D26/100)*(Assumptions!$C26/100/'Benchmark-equivalent supply'!V$3)</f>
        <v>4.2785655737704911</v>
      </c>
      <c r="W28" s="32">
        <f>'Seaborne Supply'!W26*(1-Assumptions!$D26/100)*(Assumptions!$C26/100/'Benchmark-equivalent supply'!W$3)</f>
        <v>4.6141393442622949</v>
      </c>
      <c r="X28" s="32">
        <f>'Seaborne Supply'!X26*(1-Assumptions!$D26/100)*(Assumptions!$C26/100/'Benchmark-equivalent supply'!X$3)</f>
        <v>4.6141393442622949</v>
      </c>
      <c r="Y28" s="32">
        <f>'Seaborne Supply'!Y26*(1-Assumptions!$D26/100)*(Assumptions!$C26/100/'Benchmark-equivalent supply'!Y$3)</f>
        <v>4.6141393442622949</v>
      </c>
      <c r="Z28" s="32">
        <f>'Seaborne Supply'!Z26*(1-Assumptions!$D26/100)*(Assumptions!$C26/100/'Benchmark-equivalent supply'!Z$3)</f>
        <v>4.6141393442622949</v>
      </c>
      <c r="AA28" s="32">
        <f>'Seaborne Supply'!AA26*(1-Assumptions!$D26/100)*(Assumptions!$C26/100/'Benchmark-equivalent supply'!AA$3)</f>
        <v>4.6141393442622949</v>
      </c>
      <c r="AB28" s="32">
        <f>'Seaborne Supply'!AB26*(1-Assumptions!$D26/100)*(Assumptions!$C26/100/'Benchmark-equivalent supply'!AB$3)</f>
        <v>4.6141393442622949</v>
      </c>
    </row>
    <row r="29" spans="1:28" x14ac:dyDescent="0.2">
      <c r="A29" s="7" t="s">
        <v>156</v>
      </c>
      <c r="C29" s="32">
        <f>'Seaborne Supply'!C27*(1-Assumptions!$D27/100)*(Assumptions!$C27/100/'Benchmark-equivalent supply'!C$3)</f>
        <v>3.5138064516129033</v>
      </c>
      <c r="D29" s="32">
        <f>'Seaborne Supply'!D27*(1-Assumptions!$D27/100)*(Assumptions!$C27/100/'Benchmark-equivalent supply'!D$3)</f>
        <v>2.4691612903225808</v>
      </c>
      <c r="E29" s="32">
        <f>'Seaborne Supply'!E27*(1-Assumptions!$D27/100)*(Assumptions!$C27/100/'Benchmark-equivalent supply'!E$3)</f>
        <v>0.37987096774193552</v>
      </c>
      <c r="F29" s="32">
        <f>'Seaborne Supply'!F27*(1-Assumptions!$D27/100)*(Assumptions!$C27/100/'Benchmark-equivalent supply'!F$3)</f>
        <v>1.5194838709677421</v>
      </c>
      <c r="G29" s="32">
        <f>'Seaborne Supply'!G27*(1-Assumptions!$D27/100)*(Assumptions!$C27/100/'Benchmark-equivalent supply'!G$3)</f>
        <v>2.1842580645161291</v>
      </c>
      <c r="H29" s="32">
        <f>'Seaborne Supply'!H27*(1-Assumptions!$D27/100)*(Assumptions!$C27/100/'Benchmark-equivalent supply'!H$3)</f>
        <v>2.3741935483870971</v>
      </c>
      <c r="I29" s="32">
        <f>'Seaborne Supply'!I27*(1-Assumptions!$D27/100)*(Assumptions!$C27/100/'Benchmark-equivalent supply'!I$3)</f>
        <v>1.0446451612903227</v>
      </c>
      <c r="J29" s="32">
        <f>'Seaborne Supply'!J27*(1-Assumptions!$D27/100)*(Assumptions!$C27/100/'Benchmark-equivalent supply'!J$3)</f>
        <v>2.564129032258065</v>
      </c>
      <c r="K29" s="32">
        <f>'Seaborne Supply'!K27*(1-Assumptions!$D27/100)*(Assumptions!$C27/100/'Benchmark-equivalent supply'!K$3)</f>
        <v>2.4691612903225808</v>
      </c>
      <c r="L29" s="32">
        <f>'Seaborne Supply'!L27*(1-Assumptions!$D27/100)*(Assumptions!$C27/100/'Benchmark-equivalent supply'!L$3)</f>
        <v>1.1396129032258064</v>
      </c>
      <c r="M29" s="32">
        <f>'Seaborne Supply'!M27*(1-Assumptions!$D27/100)*(Assumptions!$C27/100/'Benchmark-equivalent supply'!M$3)</f>
        <v>2.2792258064516129</v>
      </c>
      <c r="N29" s="32">
        <f>'Seaborne Supply'!N27*(1-Assumptions!$D27/100)*(Assumptions!$C27/100/'Benchmark-equivalent supply'!N$3)</f>
        <v>2.1842580645161291</v>
      </c>
      <c r="O29" s="32">
        <f>'Seaborne Supply'!O27*(1-Assumptions!$D27/100)*(Assumptions!$C27/100/'Benchmark-equivalent supply'!O$3)</f>
        <v>0</v>
      </c>
      <c r="P29" s="32">
        <f>'Seaborne Supply'!P27*(1-Assumptions!$D27/100)*(Assumptions!$C27/100/'Benchmark-equivalent supply'!P$3)</f>
        <v>0</v>
      </c>
      <c r="Q29" s="32">
        <f>'Seaborne Supply'!Q27*(1-Assumptions!$D27/100)*(Assumptions!$C27/100/'Benchmark-equivalent supply'!Q$3)</f>
        <v>0</v>
      </c>
      <c r="R29" s="32">
        <f>'Seaborne Supply'!R27*(1-Assumptions!$D27/100)*(Assumptions!$C27/100/'Benchmark-equivalent supply'!R$3)</f>
        <v>0.47483870967741937</v>
      </c>
      <c r="S29" s="32">
        <f>'Seaborne Supply'!S27*(1-Assumptions!$D27/100)*(Assumptions!$C27/100/'Benchmark-equivalent supply'!S$3)</f>
        <v>1.351344262295082</v>
      </c>
      <c r="T29" s="32">
        <f>'Seaborne Supply'!T27*(1-Assumptions!$D27/100)*(Assumptions!$C27/100/'Benchmark-equivalent supply'!T$3)</f>
        <v>1.73744262295082</v>
      </c>
      <c r="U29" s="32">
        <f>'Seaborne Supply'!U27*(1-Assumptions!$D27/100)*(Assumptions!$C27/100/'Benchmark-equivalent supply'!U$3)</f>
        <v>1.9304918032786886</v>
      </c>
      <c r="V29" s="32">
        <f>'Seaborne Supply'!V27*(1-Assumptions!$D27/100)*(Assumptions!$C27/100/'Benchmark-equivalent supply'!V$3)</f>
        <v>1.9304918032786886</v>
      </c>
      <c r="W29" s="32">
        <f>'Seaborne Supply'!W27*(1-Assumptions!$D27/100)*(Assumptions!$C27/100/'Benchmark-equivalent supply'!W$3)</f>
        <v>1.9304918032786886</v>
      </c>
      <c r="X29" s="32">
        <f>'Seaborne Supply'!X27*(1-Assumptions!$D27/100)*(Assumptions!$C27/100/'Benchmark-equivalent supply'!X$3)</f>
        <v>1.9304918032786886</v>
      </c>
      <c r="Y29" s="32">
        <f>'Seaborne Supply'!Y27*(1-Assumptions!$D27/100)*(Assumptions!$C27/100/'Benchmark-equivalent supply'!Y$3)</f>
        <v>1.9304918032786886</v>
      </c>
      <c r="Z29" s="32">
        <f>'Seaborne Supply'!Z27*(1-Assumptions!$D27/100)*(Assumptions!$C27/100/'Benchmark-equivalent supply'!Z$3)</f>
        <v>1.9304918032786886</v>
      </c>
      <c r="AA29" s="32">
        <f>'Seaborne Supply'!AA27*(1-Assumptions!$D27/100)*(Assumptions!$C27/100/'Benchmark-equivalent supply'!AA$3)</f>
        <v>1.9304918032786886</v>
      </c>
      <c r="AB29" s="32">
        <f>'Seaborne Supply'!AB27*(1-Assumptions!$D27/100)*(Assumptions!$C27/100/'Benchmark-equivalent supply'!AB$3)</f>
        <v>1.9304918032786886</v>
      </c>
    </row>
    <row r="30" spans="1:28" x14ac:dyDescent="0.2">
      <c r="A30" s="7" t="s">
        <v>159</v>
      </c>
      <c r="C30" s="32">
        <f>'Seaborne Supply'!C28*(1-Assumptions!$D28/100)*(Assumptions!$C28/100/'Benchmark-equivalent supply'!C$3)</f>
        <v>3.1514435483870966</v>
      </c>
      <c r="D30" s="32">
        <f>'Seaborne Supply'!D28*(1-Assumptions!$D28/100)*(Assumptions!$C28/100/'Benchmark-equivalent supply'!D$3)</f>
        <v>3.244133064516129</v>
      </c>
      <c r="E30" s="32">
        <f>'Seaborne Supply'!E28*(1-Assumptions!$D28/100)*(Assumptions!$C28/100/'Benchmark-equivalent supply'!E$3)</f>
        <v>1.8537903225806451</v>
      </c>
      <c r="F30" s="32">
        <f>'Seaborne Supply'!F28*(1-Assumptions!$D28/100)*(Assumptions!$C28/100/'Benchmark-equivalent supply'!F$3)</f>
        <v>1.3903427419354837</v>
      </c>
      <c r="G30" s="32">
        <f>'Seaborne Supply'!G28*(1-Assumptions!$D28/100)*(Assumptions!$C28/100/'Benchmark-equivalent supply'!G$3)</f>
        <v>2.3172379032258066</v>
      </c>
      <c r="H30" s="32">
        <f>'Seaborne Supply'!H28*(1-Assumptions!$D28/100)*(Assumptions!$C28/100/'Benchmark-equivalent supply'!H$3)</f>
        <v>0.46344758064516128</v>
      </c>
      <c r="I30" s="32">
        <f>'Seaborne Supply'!I28*(1-Assumptions!$D28/100)*(Assumptions!$C28/100/'Benchmark-equivalent supply'!I$3)</f>
        <v>0</v>
      </c>
      <c r="J30" s="32">
        <f>'Seaborne Supply'!J28*(1-Assumptions!$D28/100)*(Assumptions!$C28/100/'Benchmark-equivalent supply'!J$3)</f>
        <v>2.3172379032258066</v>
      </c>
      <c r="K30" s="32">
        <f>'Seaborne Supply'!K28*(1-Assumptions!$D28/100)*(Assumptions!$C28/100/'Benchmark-equivalent supply'!K$3)</f>
        <v>2.1318588709677417</v>
      </c>
      <c r="L30" s="32">
        <f>'Seaborne Supply'!L28*(1-Assumptions!$D28/100)*(Assumptions!$C28/100/'Benchmark-equivalent supply'!L$3)</f>
        <v>3.8002701612903222</v>
      </c>
      <c r="M30" s="32">
        <f>'Seaborne Supply'!M28*(1-Assumptions!$D28/100)*(Assumptions!$C28/100/'Benchmark-equivalent supply'!M$3)</f>
        <v>5.5613709677419347</v>
      </c>
      <c r="N30" s="32">
        <f>'Seaborne Supply'!N28*(1-Assumptions!$D28/100)*(Assumptions!$C28/100/'Benchmark-equivalent supply'!N$3)</f>
        <v>9.7323991935483871</v>
      </c>
      <c r="O30" s="32">
        <f>'Seaborne Supply'!O28*(1-Assumptions!$D28/100)*(Assumptions!$C28/100/'Benchmark-equivalent supply'!O$3)</f>
        <v>3.7075806451612903</v>
      </c>
      <c r="P30" s="32">
        <f>'Seaborne Supply'!P28*(1-Assumptions!$D28/100)*(Assumptions!$C28/100/'Benchmark-equivalent supply'!P$3)</f>
        <v>3.336822580645161</v>
      </c>
      <c r="Q30" s="32">
        <f>'Seaborne Supply'!Q28*(1-Assumptions!$D28/100)*(Assumptions!$C28/100/'Benchmark-equivalent supply'!Q$3)</f>
        <v>9.0835725806451624</v>
      </c>
      <c r="R30" s="32">
        <f>'Seaborne Supply'!R28*(1-Assumptions!$D28/100)*(Assumptions!$C28/100/'Benchmark-equivalent supply'!R$3)</f>
        <v>8.9908830645161277</v>
      </c>
      <c r="S30" s="32">
        <f>'Seaborne Supply'!S28*(1-Assumptions!$D28/100)*(Assumptions!$C28/100/'Benchmark-equivalent supply'!S$3)</f>
        <v>8.9498565573770481</v>
      </c>
      <c r="T30" s="32">
        <f>'Seaborne Supply'!T28*(1-Assumptions!$D28/100)*(Assumptions!$C28/100/'Benchmark-equivalent supply'!T$3)</f>
        <v>8.4788114754098345</v>
      </c>
      <c r="U30" s="32">
        <f>'Seaborne Supply'!U28*(1-Assumptions!$D28/100)*(Assumptions!$C28/100/'Benchmark-equivalent supply'!U$3)</f>
        <v>8.0077663934426226</v>
      </c>
      <c r="V30" s="32">
        <f>'Seaborne Supply'!V28*(1-Assumptions!$D28/100)*(Assumptions!$C28/100/'Benchmark-equivalent supply'!V$3)</f>
        <v>7.5367213114754099</v>
      </c>
      <c r="W30" s="32">
        <f>'Seaborne Supply'!W28*(1-Assumptions!$D28/100)*(Assumptions!$C28/100/'Benchmark-equivalent supply'!W$3)</f>
        <v>7.0656762295081972</v>
      </c>
      <c r="X30" s="32">
        <f>'Seaborne Supply'!X28*(1-Assumptions!$D28/100)*(Assumptions!$C28/100/'Benchmark-equivalent supply'!X$3)</f>
        <v>6.5946311475409836</v>
      </c>
      <c r="Y30" s="32">
        <f>'Seaborne Supply'!Y28*(1-Assumptions!$D28/100)*(Assumptions!$C28/100/'Benchmark-equivalent supply'!Y$3)</f>
        <v>6.1235860655737708</v>
      </c>
      <c r="Z30" s="32">
        <f>'Seaborne Supply'!Z28*(1-Assumptions!$D28/100)*(Assumptions!$C28/100/'Benchmark-equivalent supply'!Z$3)</f>
        <v>6.1235860655737708</v>
      </c>
      <c r="AA30" s="32">
        <f>'Seaborne Supply'!AA28*(1-Assumptions!$D28/100)*(Assumptions!$C28/100/'Benchmark-equivalent supply'!AA$3)</f>
        <v>6.1235860655737708</v>
      </c>
      <c r="AB30" s="32">
        <f>'Seaborne Supply'!AB28*(1-Assumptions!$D28/100)*(Assumptions!$C28/100/'Benchmark-equivalent supply'!AB$3)</f>
        <v>6.1235860655737708</v>
      </c>
    </row>
    <row r="31" spans="1:28" x14ac:dyDescent="0.2">
      <c r="A31" s="7" t="s">
        <v>285</v>
      </c>
      <c r="C31" s="32">
        <f>'Seaborne Supply'!C29*(1-Assumptions!$D29/100)*(Assumptions!$C29/100/'Benchmark-equivalent supply'!C$3)</f>
        <v>3.1679999999999997</v>
      </c>
      <c r="D31" s="32">
        <f>'Seaborne Supply'!D29*(1-Assumptions!$D29/100)*(Assumptions!$C29/100/'Benchmark-equivalent supply'!D$3)</f>
        <v>1.44</v>
      </c>
      <c r="E31" s="32">
        <f>'Seaborne Supply'!E29*(1-Assumptions!$D29/100)*(Assumptions!$C29/100/'Benchmark-equivalent supply'!E$3)</f>
        <v>1.44</v>
      </c>
      <c r="F31" s="32">
        <f>'Seaborne Supply'!F29*(1-Assumptions!$D29/100)*(Assumptions!$C29/100/'Benchmark-equivalent supply'!F$3)</f>
        <v>0.48</v>
      </c>
      <c r="G31" s="32">
        <f>'Seaborne Supply'!G29*(1-Assumptions!$D29/100)*(Assumptions!$C29/100/'Benchmark-equivalent supply'!G$3)</f>
        <v>2.1120000000000001</v>
      </c>
      <c r="H31" s="32">
        <f>'Seaborne Supply'!H29*(1-Assumptions!$D29/100)*(Assumptions!$C29/100/'Benchmark-equivalent supply'!H$3)</f>
        <v>0.76800000000000002</v>
      </c>
      <c r="I31" s="32">
        <f>'Seaborne Supply'!I29*(1-Assumptions!$D29/100)*(Assumptions!$C29/100/'Benchmark-equivalent supply'!I$3)</f>
        <v>1.44</v>
      </c>
      <c r="J31" s="32">
        <f>'Seaborne Supply'!J29*(1-Assumptions!$D29/100)*(Assumptions!$C29/100/'Benchmark-equivalent supply'!J$3)</f>
        <v>1.6319999999999999</v>
      </c>
      <c r="K31" s="32">
        <f>'Seaborne Supply'!K29*(1-Assumptions!$D29/100)*(Assumptions!$C29/100/'Benchmark-equivalent supply'!K$3)</f>
        <v>1.44</v>
      </c>
      <c r="L31" s="32">
        <f>'Seaborne Supply'!L29*(1-Assumptions!$D29/100)*(Assumptions!$C29/100/'Benchmark-equivalent supply'!L$3)</f>
        <v>1.248</v>
      </c>
      <c r="M31" s="32">
        <f>'Seaborne Supply'!M29*(1-Assumptions!$D29/100)*(Assumptions!$C29/100/'Benchmark-equivalent supply'!M$3)</f>
        <v>0</v>
      </c>
      <c r="N31" s="32">
        <f>'Seaborne Supply'!N29*(1-Assumptions!$D29/100)*(Assumptions!$C29/100/'Benchmark-equivalent supply'!N$3)</f>
        <v>0.38400000000000001</v>
      </c>
      <c r="O31" s="32">
        <f>'Seaborne Supply'!O29*(1-Assumptions!$D29/100)*(Assumptions!$C29/100/'Benchmark-equivalent supply'!O$3)</f>
        <v>1.536</v>
      </c>
      <c r="P31" s="32">
        <f>'Seaborne Supply'!P29*(1-Assumptions!$D29/100)*(Assumptions!$C29/100/'Benchmark-equivalent supply'!P$3)</f>
        <v>1.056</v>
      </c>
      <c r="Q31" s="32">
        <f>'Seaborne Supply'!Q29*(1-Assumptions!$D29/100)*(Assumptions!$C29/100/'Benchmark-equivalent supply'!Q$3)</f>
        <v>1.92</v>
      </c>
      <c r="R31" s="32">
        <f>'Seaborne Supply'!R29*(1-Assumptions!$D29/100)*(Assumptions!$C29/100/'Benchmark-equivalent supply'!R$3)</f>
        <v>0.86399999999999999</v>
      </c>
      <c r="S31" s="32">
        <f>'Seaborne Supply'!S29*(1-Assumptions!$D29/100)*(Assumptions!$C29/100/'Benchmark-equivalent supply'!S$3)</f>
        <v>0.4878688524590164</v>
      </c>
      <c r="T31" s="32">
        <f>'Seaborne Supply'!T29*(1-Assumptions!$D29/100)*(Assumptions!$C29/100/'Benchmark-equivalent supply'!T$3)</f>
        <v>0.78059016393442626</v>
      </c>
      <c r="U31" s="32">
        <f>'Seaborne Supply'!U29*(1-Assumptions!$D29/100)*(Assumptions!$C29/100/'Benchmark-equivalent supply'!U$3)</f>
        <v>0.78059016393442626</v>
      </c>
      <c r="V31" s="32">
        <f>'Seaborne Supply'!V29*(1-Assumptions!$D29/100)*(Assumptions!$C29/100/'Benchmark-equivalent supply'!V$3)</f>
        <v>0.78059016393442626</v>
      </c>
      <c r="W31" s="32">
        <f>'Seaborne Supply'!W29*(1-Assumptions!$D29/100)*(Assumptions!$C29/100/'Benchmark-equivalent supply'!W$3)</f>
        <v>0.78059016393442626</v>
      </c>
      <c r="X31" s="32">
        <f>'Seaborne Supply'!X29*(1-Assumptions!$D29/100)*(Assumptions!$C29/100/'Benchmark-equivalent supply'!X$3)</f>
        <v>0.78059016393442626</v>
      </c>
      <c r="Y31" s="32">
        <f>'Seaborne Supply'!Y29*(1-Assumptions!$D29/100)*(Assumptions!$C29/100/'Benchmark-equivalent supply'!Y$3)</f>
        <v>0.78059016393442626</v>
      </c>
      <c r="Z31" s="32">
        <f>'Seaborne Supply'!Z29*(1-Assumptions!$D29/100)*(Assumptions!$C29/100/'Benchmark-equivalent supply'!Z$3)</f>
        <v>0.78059016393442626</v>
      </c>
      <c r="AA31" s="32">
        <f>'Seaborne Supply'!AA29*(1-Assumptions!$D29/100)*(Assumptions!$C29/100/'Benchmark-equivalent supply'!AA$3)</f>
        <v>0.78059016393442626</v>
      </c>
      <c r="AB31" s="32">
        <f>'Seaborne Supply'!AB29*(1-Assumptions!$D29/100)*(Assumptions!$C29/100/'Benchmark-equivalent supply'!AB$3)</f>
        <v>0.78059016393442626</v>
      </c>
    </row>
    <row r="32" spans="1:28" x14ac:dyDescent="0.2">
      <c r="A32" s="7" t="s">
        <v>267</v>
      </c>
      <c r="C32" s="32">
        <f>'Seaborne Supply'!C30*(1-Assumptions!$D30/100)*(Assumptions!$C30/100/'Benchmark-equivalent supply'!C$3)</f>
        <v>0</v>
      </c>
      <c r="D32" s="32">
        <f>'Seaborne Supply'!D30*(1-Assumptions!$D30/100)*(Assumptions!$C30/100/'Benchmark-equivalent supply'!D$3)</f>
        <v>0</v>
      </c>
      <c r="E32" s="32">
        <f>'Seaborne Supply'!E30*(1-Assumptions!$D30/100)*(Assumptions!$C30/100/'Benchmark-equivalent supply'!E$3)</f>
        <v>0</v>
      </c>
      <c r="F32" s="32">
        <f>'Seaborne Supply'!F30*(1-Assumptions!$D30/100)*(Assumptions!$C30/100/'Benchmark-equivalent supply'!F$3)</f>
        <v>0</v>
      </c>
      <c r="G32" s="32">
        <f>'Seaborne Supply'!G30*(1-Assumptions!$D30/100)*(Assumptions!$C30/100/'Benchmark-equivalent supply'!G$3)</f>
        <v>0</v>
      </c>
      <c r="H32" s="32">
        <f>'Seaborne Supply'!H30*(1-Assumptions!$D30/100)*(Assumptions!$C30/100/'Benchmark-equivalent supply'!H$3)</f>
        <v>0</v>
      </c>
      <c r="I32" s="32">
        <f>'Seaborne Supply'!I30*(1-Assumptions!$D30/100)*(Assumptions!$C30/100/'Benchmark-equivalent supply'!I$3)</f>
        <v>0.18683870967741936</v>
      </c>
      <c r="J32" s="32">
        <f>'Seaborne Supply'!J30*(1-Assumptions!$D30/100)*(Assumptions!$C30/100/'Benchmark-equivalent supply'!J$3)</f>
        <v>0.65393548387096767</v>
      </c>
      <c r="K32" s="32">
        <f>'Seaborne Supply'!K30*(1-Assumptions!$D30/100)*(Assumptions!$C30/100/'Benchmark-equivalent supply'!K$3)</f>
        <v>1.401290322580645</v>
      </c>
      <c r="L32" s="32">
        <f>'Seaborne Supply'!L30*(1-Assumptions!$D30/100)*(Assumptions!$C30/100/'Benchmark-equivalent supply'!L$3)</f>
        <v>1.2144516129032259</v>
      </c>
      <c r="M32" s="32">
        <f>'Seaborne Supply'!M30*(1-Assumptions!$D30/100)*(Assumptions!$C30/100/'Benchmark-equivalent supply'!M$3)</f>
        <v>0.37367741935483872</v>
      </c>
      <c r="N32" s="32">
        <f>'Seaborne Supply'!N30*(1-Assumptions!$D30/100)*(Assumptions!$C30/100/'Benchmark-equivalent supply'!N$3)</f>
        <v>0.37367741935483872</v>
      </c>
      <c r="O32" s="32">
        <f>'Seaborne Supply'!O30*(1-Assumptions!$D30/100)*(Assumptions!$C30/100/'Benchmark-equivalent supply'!O$3)</f>
        <v>1.5881290322580643</v>
      </c>
      <c r="P32" s="32">
        <f>'Seaborne Supply'!P30*(1-Assumptions!$D30/100)*(Assumptions!$C30/100/'Benchmark-equivalent supply'!P$3)</f>
        <v>1.1210322580645162</v>
      </c>
      <c r="Q32" s="32">
        <f>'Seaborne Supply'!Q30*(1-Assumptions!$D30/100)*(Assumptions!$C30/100/'Benchmark-equivalent supply'!Q$3)</f>
        <v>1.6815483870967742</v>
      </c>
      <c r="R32" s="32">
        <f>'Seaborne Supply'!R30*(1-Assumptions!$D30/100)*(Assumptions!$C30/100/'Benchmark-equivalent supply'!R$3)</f>
        <v>1.6815483870967742</v>
      </c>
      <c r="S32" s="32">
        <f>'Seaborne Supply'!S30*(1-Assumptions!$D30/100)*(Assumptions!$C30/100/'Benchmark-equivalent supply'!S$3)</f>
        <v>0.569704918032787</v>
      </c>
      <c r="T32" s="32">
        <f>'Seaborne Supply'!T30*(1-Assumptions!$D30/100)*(Assumptions!$C30/100/'Benchmark-equivalent supply'!T$3)</f>
        <v>0.7596065573770493</v>
      </c>
      <c r="U32" s="32">
        <f>'Seaborne Supply'!U30*(1-Assumptions!$D30/100)*(Assumptions!$C30/100/'Benchmark-equivalent supply'!U$3)</f>
        <v>0.7596065573770493</v>
      </c>
      <c r="V32" s="32">
        <f>'Seaborne Supply'!V30*(1-Assumptions!$D30/100)*(Assumptions!$C30/100/'Benchmark-equivalent supply'!V$3)</f>
        <v>0.66465573770491804</v>
      </c>
      <c r="W32" s="32">
        <f>'Seaborne Supply'!W30*(1-Assumptions!$D30/100)*(Assumptions!$C30/100/'Benchmark-equivalent supply'!W$3)</f>
        <v>0.569704918032787</v>
      </c>
      <c r="X32" s="32">
        <f>'Seaborne Supply'!X30*(1-Assumptions!$D30/100)*(Assumptions!$C30/100/'Benchmark-equivalent supply'!X$3)</f>
        <v>0.4747540983606558</v>
      </c>
      <c r="Y32" s="32">
        <f>'Seaborne Supply'!Y30*(1-Assumptions!$D30/100)*(Assumptions!$C30/100/'Benchmark-equivalent supply'!Y$3)</f>
        <v>0.4747540983606558</v>
      </c>
      <c r="Z32" s="32">
        <f>'Seaborne Supply'!Z30*(1-Assumptions!$D30/100)*(Assumptions!$C30/100/'Benchmark-equivalent supply'!Z$3)</f>
        <v>0.4747540983606558</v>
      </c>
      <c r="AA32" s="32">
        <f>'Seaborne Supply'!AA30*(1-Assumptions!$D30/100)*(Assumptions!$C30/100/'Benchmark-equivalent supply'!AA$3)</f>
        <v>0.4747540983606558</v>
      </c>
      <c r="AB32" s="32">
        <f>'Seaborne Supply'!AB30*(1-Assumptions!$D30/100)*(Assumptions!$C30/100/'Benchmark-equivalent supply'!AB$3)</f>
        <v>0.7596065573770493</v>
      </c>
    </row>
    <row r="33" spans="1:28" x14ac:dyDescent="0.2">
      <c r="A33" s="7" t="s">
        <v>170</v>
      </c>
      <c r="C33" s="32">
        <f>'Seaborne Supply'!C31*(1-Assumptions!$D31/100)*(Assumptions!$C31/100/'Benchmark-equivalent supply'!C$3)</f>
        <v>0.72348387096774203</v>
      </c>
      <c r="D33" s="32">
        <f>'Seaborne Supply'!D31*(1-Assumptions!$D31/100)*(Assumptions!$C31/100/'Benchmark-equivalent supply'!D$3)</f>
        <v>0.72348387096774203</v>
      </c>
      <c r="E33" s="32">
        <f>'Seaborne Supply'!E31*(1-Assumptions!$D31/100)*(Assumptions!$C31/100/'Benchmark-equivalent supply'!E$3)</f>
        <v>1.8087096774193547</v>
      </c>
      <c r="F33" s="32">
        <f>'Seaborne Supply'!F31*(1-Assumptions!$D31/100)*(Assumptions!$C31/100/'Benchmark-equivalent supply'!F$3)</f>
        <v>0.54261290322580646</v>
      </c>
      <c r="G33" s="32">
        <f>'Seaborne Supply'!G31*(1-Assumptions!$D31/100)*(Assumptions!$C31/100/'Benchmark-equivalent supply'!G$3)</f>
        <v>0.36174193548387101</v>
      </c>
      <c r="H33" s="32">
        <f>'Seaborne Supply'!H31*(1-Assumptions!$D31/100)*(Assumptions!$C31/100/'Benchmark-equivalent supply'!H$3)</f>
        <v>0.45217741935483868</v>
      </c>
      <c r="I33" s="32">
        <f>'Seaborne Supply'!I31*(1-Assumptions!$D31/100)*(Assumptions!$C31/100/'Benchmark-equivalent supply'!I$3)</f>
        <v>0.45217741935483868</v>
      </c>
      <c r="J33" s="32">
        <f>'Seaborne Supply'!J31*(1-Assumptions!$D31/100)*(Assumptions!$C31/100/'Benchmark-equivalent supply'!J$3)</f>
        <v>0.45217741935483868</v>
      </c>
      <c r="K33" s="32">
        <f>'Seaborne Supply'!K31*(1-Assumptions!$D31/100)*(Assumptions!$C31/100/'Benchmark-equivalent supply'!K$3)</f>
        <v>0.18087096774193551</v>
      </c>
      <c r="L33" s="32">
        <f>'Seaborne Supply'!L31*(1-Assumptions!$D31/100)*(Assumptions!$C31/100/'Benchmark-equivalent supply'!L$3)</f>
        <v>9.0435483870967753E-2</v>
      </c>
      <c r="M33" s="32">
        <f>'Seaborne Supply'!M31*(1-Assumptions!$D31/100)*(Assumptions!$C31/100/'Benchmark-equivalent supply'!M$3)</f>
        <v>0</v>
      </c>
      <c r="N33" s="32">
        <f>'Seaborne Supply'!N31*(1-Assumptions!$D31/100)*(Assumptions!$C31/100/'Benchmark-equivalent supply'!N$3)</f>
        <v>0</v>
      </c>
      <c r="O33" s="32">
        <f>'Seaborne Supply'!O31*(1-Assumptions!$D31/100)*(Assumptions!$C31/100/'Benchmark-equivalent supply'!O$3)</f>
        <v>0</v>
      </c>
      <c r="P33" s="32">
        <f>'Seaborne Supply'!P31*(1-Assumptions!$D31/100)*(Assumptions!$C31/100/'Benchmark-equivalent supply'!P$3)</f>
        <v>0</v>
      </c>
      <c r="Q33" s="32">
        <f>'Seaborne Supply'!Q31*(1-Assumptions!$D31/100)*(Assumptions!$C31/100/'Benchmark-equivalent supply'!Q$3)</f>
        <v>0</v>
      </c>
      <c r="R33" s="32">
        <f>'Seaborne Supply'!R31*(1-Assumptions!$D31/100)*(Assumptions!$C31/100/'Benchmark-equivalent supply'!R$3)</f>
        <v>0</v>
      </c>
      <c r="S33" s="32">
        <f>'Seaborne Supply'!S31*(1-Assumptions!$D31/100)*(Assumptions!$C31/100/'Benchmark-equivalent supply'!S$3)</f>
        <v>0</v>
      </c>
      <c r="T33" s="32">
        <f>'Seaborne Supply'!T31*(1-Assumptions!$D31/100)*(Assumptions!$C31/100/'Benchmark-equivalent supply'!T$3)</f>
        <v>9.1918032786885262E-2</v>
      </c>
      <c r="U33" s="32">
        <f>'Seaborne Supply'!U31*(1-Assumptions!$D31/100)*(Assumptions!$C31/100/'Benchmark-equivalent supply'!U$3)</f>
        <v>9.1918032786885262E-2</v>
      </c>
      <c r="V33" s="32">
        <f>'Seaborne Supply'!V31*(1-Assumptions!$D31/100)*(Assumptions!$C31/100/'Benchmark-equivalent supply'!V$3)</f>
        <v>9.1918032786885262E-2</v>
      </c>
      <c r="W33" s="32">
        <f>'Seaborne Supply'!W31*(1-Assumptions!$D31/100)*(Assumptions!$C31/100/'Benchmark-equivalent supply'!W$3)</f>
        <v>9.1918032786885262E-2</v>
      </c>
      <c r="X33" s="32">
        <f>'Seaborne Supply'!X31*(1-Assumptions!$D31/100)*(Assumptions!$C31/100/'Benchmark-equivalent supply'!X$3)</f>
        <v>9.1918032786885262E-2</v>
      </c>
      <c r="Y33" s="32">
        <f>'Seaborne Supply'!Y31*(1-Assumptions!$D31/100)*(Assumptions!$C31/100/'Benchmark-equivalent supply'!Y$3)</f>
        <v>9.1918032786885262E-2</v>
      </c>
      <c r="Z33" s="32">
        <f>'Seaborne Supply'!Z31*(1-Assumptions!$D31/100)*(Assumptions!$C31/100/'Benchmark-equivalent supply'!Z$3)</f>
        <v>9.1918032786885262E-2</v>
      </c>
      <c r="AA33" s="32">
        <f>'Seaborne Supply'!AA31*(1-Assumptions!$D31/100)*(Assumptions!$C31/100/'Benchmark-equivalent supply'!AA$3)</f>
        <v>9.1918032786885262E-2</v>
      </c>
      <c r="AB33" s="32">
        <f>'Seaborne Supply'!AB31*(1-Assumptions!$D31/100)*(Assumptions!$C31/100/'Benchmark-equivalent supply'!AB$3)</f>
        <v>9.1918032786885262E-2</v>
      </c>
    </row>
    <row r="34" spans="1:28" x14ac:dyDescent="0.2">
      <c r="A34" s="7" t="s">
        <v>271</v>
      </c>
      <c r="C34" s="32">
        <f>'Seaborne Supply'!C32*(1-Assumptions!$D32/100)*(Assumptions!$C32/100/'Benchmark-equivalent supply'!C$3)</f>
        <v>0.87580645161290316</v>
      </c>
      <c r="D34" s="32">
        <f>'Seaborne Supply'!D32*(1-Assumptions!$D32/100)*(Assumptions!$C32/100/'Benchmark-equivalent supply'!D$3)</f>
        <v>0.87580645161290316</v>
      </c>
      <c r="E34" s="32">
        <f>'Seaborne Supply'!E32*(1-Assumptions!$D32/100)*(Assumptions!$C32/100/'Benchmark-equivalent supply'!E$3)</f>
        <v>0.78822580645161289</v>
      </c>
      <c r="F34" s="32">
        <f>'Seaborne Supply'!F32*(1-Assumptions!$D32/100)*(Assumptions!$C32/100/'Benchmark-equivalent supply'!F$3)</f>
        <v>0.70064516129032262</v>
      </c>
      <c r="G34" s="32">
        <f>'Seaborne Supply'!G32*(1-Assumptions!$D32/100)*(Assumptions!$C32/100/'Benchmark-equivalent supply'!G$3)</f>
        <v>0.52548387096774196</v>
      </c>
      <c r="H34" s="32">
        <f>'Seaborne Supply'!H32*(1-Assumptions!$D32/100)*(Assumptions!$C32/100/'Benchmark-equivalent supply'!H$3)</f>
        <v>0.26274193548387098</v>
      </c>
      <c r="I34" s="32">
        <f>'Seaborne Supply'!I32*(1-Assumptions!$D32/100)*(Assumptions!$C32/100/'Benchmark-equivalent supply'!I$3)</f>
        <v>0.35032258064516131</v>
      </c>
      <c r="J34" s="32">
        <f>'Seaborne Supply'!J32*(1-Assumptions!$D32/100)*(Assumptions!$C32/100/'Benchmark-equivalent supply'!J$3)</f>
        <v>0.35032258064516131</v>
      </c>
      <c r="K34" s="32">
        <f>'Seaborne Supply'!K32*(1-Assumptions!$D32/100)*(Assumptions!$C32/100/'Benchmark-equivalent supply'!K$3)</f>
        <v>0.17516129032258065</v>
      </c>
      <c r="L34" s="32">
        <f>'Seaborne Supply'!L32*(1-Assumptions!$D32/100)*(Assumptions!$C32/100/'Benchmark-equivalent supply'!L$3)</f>
        <v>8.7580645161290327E-2</v>
      </c>
      <c r="M34" s="32">
        <f>'Seaborne Supply'!M32*(1-Assumptions!$D32/100)*(Assumptions!$C32/100/'Benchmark-equivalent supply'!M$3)</f>
        <v>0</v>
      </c>
      <c r="N34" s="32">
        <f>'Seaborne Supply'!N32*(1-Assumptions!$D32/100)*(Assumptions!$C32/100/'Benchmark-equivalent supply'!N$3)</f>
        <v>0</v>
      </c>
      <c r="O34" s="32">
        <f>'Seaborne Supply'!O32*(1-Assumptions!$D32/100)*(Assumptions!$C32/100/'Benchmark-equivalent supply'!O$3)</f>
        <v>0</v>
      </c>
      <c r="P34" s="32">
        <f>'Seaborne Supply'!P32*(1-Assumptions!$D32/100)*(Assumptions!$C32/100/'Benchmark-equivalent supply'!P$3)</f>
        <v>0</v>
      </c>
      <c r="Q34" s="32">
        <f>'Seaborne Supply'!Q32*(1-Assumptions!$D32/100)*(Assumptions!$C32/100/'Benchmark-equivalent supply'!Q$3)</f>
        <v>0</v>
      </c>
      <c r="R34" s="32">
        <f>'Seaborne Supply'!R32*(1-Assumptions!$D32/100)*(Assumptions!$C32/100/'Benchmark-equivalent supply'!R$3)</f>
        <v>0</v>
      </c>
      <c r="S34" s="32">
        <f>'Seaborne Supply'!S32*(1-Assumptions!$D32/100)*(Assumptions!$C32/100/'Benchmark-equivalent supply'!S$3)</f>
        <v>0</v>
      </c>
      <c r="T34" s="32">
        <f>'Seaborne Supply'!T32*(1-Assumptions!$D32/100)*(Assumptions!$C32/100/'Benchmark-equivalent supply'!T$3)</f>
        <v>0</v>
      </c>
      <c r="U34" s="32">
        <f>'Seaborne Supply'!U32*(1-Assumptions!$D32/100)*(Assumptions!$C32/100/'Benchmark-equivalent supply'!U$3)</f>
        <v>0</v>
      </c>
      <c r="V34" s="32">
        <f>'Seaborne Supply'!V32*(1-Assumptions!$D32/100)*(Assumptions!$C32/100/'Benchmark-equivalent supply'!V$3)</f>
        <v>0</v>
      </c>
      <c r="W34" s="32">
        <f>'Seaborne Supply'!W32*(1-Assumptions!$D32/100)*(Assumptions!$C32/100/'Benchmark-equivalent supply'!W$3)</f>
        <v>0</v>
      </c>
      <c r="X34" s="32">
        <f>'Seaborne Supply'!X32*(1-Assumptions!$D32/100)*(Assumptions!$C32/100/'Benchmark-equivalent supply'!X$3)</f>
        <v>0</v>
      </c>
      <c r="Y34" s="32">
        <f>'Seaborne Supply'!Y32*(1-Assumptions!$D32/100)*(Assumptions!$C32/100/'Benchmark-equivalent supply'!Y$3)</f>
        <v>0</v>
      </c>
      <c r="Z34" s="32">
        <f>'Seaborne Supply'!Z32*(1-Assumptions!$D32/100)*(Assumptions!$C32/100/'Benchmark-equivalent supply'!Z$3)</f>
        <v>0</v>
      </c>
      <c r="AA34" s="32">
        <f>'Seaborne Supply'!AA32*(1-Assumptions!$D32/100)*(Assumptions!$C32/100/'Benchmark-equivalent supply'!AA$3)</f>
        <v>0</v>
      </c>
      <c r="AB34" s="32">
        <f>'Seaborne Supply'!AB32*(1-Assumptions!$D32/100)*(Assumptions!$C32/100/'Benchmark-equivalent supply'!AB$3)</f>
        <v>0</v>
      </c>
    </row>
    <row r="35" spans="1:28" x14ac:dyDescent="0.2">
      <c r="A35" s="7" t="s">
        <v>274</v>
      </c>
      <c r="C35" s="32">
        <f>'Seaborne Supply'!C33*(1-Assumptions!$D33/100)*(Assumptions!$C33/100/'Benchmark-equivalent supply'!C$3)</f>
        <v>1.2329032258064516</v>
      </c>
      <c r="D35" s="32">
        <f>'Seaborne Supply'!D33*(1-Assumptions!$D33/100)*(Assumptions!$C33/100/'Benchmark-equivalent supply'!D$3)</f>
        <v>1.2329032258064516</v>
      </c>
      <c r="E35" s="32">
        <f>'Seaborne Supply'!E33*(1-Assumptions!$D33/100)*(Assumptions!$C33/100/'Benchmark-equivalent supply'!E$3)</f>
        <v>1.3209677419354837</v>
      </c>
      <c r="F35" s="32">
        <f>'Seaborne Supply'!F33*(1-Assumptions!$D33/100)*(Assumptions!$C33/100/'Benchmark-equivalent supply'!F$3)</f>
        <v>1.5851612903225807</v>
      </c>
      <c r="G35" s="32">
        <f>'Seaborne Supply'!G33*(1-Assumptions!$D33/100)*(Assumptions!$C33/100/'Benchmark-equivalent supply'!G$3)</f>
        <v>1.3209677419354837</v>
      </c>
      <c r="H35" s="32">
        <f>'Seaborne Supply'!H33*(1-Assumptions!$D33/100)*(Assumptions!$C33/100/'Benchmark-equivalent supply'!H$3)</f>
        <v>0.70451612903225813</v>
      </c>
      <c r="I35" s="32">
        <f>'Seaborne Supply'!I33*(1-Assumptions!$D33/100)*(Assumptions!$C33/100/'Benchmark-equivalent supply'!I$3)</f>
        <v>0.70451612903225813</v>
      </c>
      <c r="J35" s="32">
        <f>'Seaborne Supply'!J33*(1-Assumptions!$D33/100)*(Assumptions!$C33/100/'Benchmark-equivalent supply'!J$3)</f>
        <v>0.61645161290322581</v>
      </c>
      <c r="K35" s="32">
        <f>'Seaborne Supply'!K33*(1-Assumptions!$D33/100)*(Assumptions!$C33/100/'Benchmark-equivalent supply'!K$3)</f>
        <v>0.35225806451612907</v>
      </c>
      <c r="L35" s="32">
        <f>'Seaborne Supply'!L33*(1-Assumptions!$D33/100)*(Assumptions!$C33/100/'Benchmark-equivalent supply'!L$3)</f>
        <v>0.17612903225806453</v>
      </c>
      <c r="M35" s="32">
        <f>'Seaborne Supply'!M33*(1-Assumptions!$D33/100)*(Assumptions!$C33/100/'Benchmark-equivalent supply'!M$3)</f>
        <v>8.8064516129032266E-2</v>
      </c>
      <c r="N35" s="32">
        <f>'Seaborne Supply'!N33*(1-Assumptions!$D33/100)*(Assumptions!$C33/100/'Benchmark-equivalent supply'!N$3)</f>
        <v>8.8064516129032266E-2</v>
      </c>
      <c r="O35" s="32">
        <f>'Seaborne Supply'!O33*(1-Assumptions!$D33/100)*(Assumptions!$C33/100/'Benchmark-equivalent supply'!O$3)</f>
        <v>8.8064516129032266E-2</v>
      </c>
      <c r="P35" s="32">
        <f>'Seaborne Supply'!P33*(1-Assumptions!$D33/100)*(Assumptions!$C33/100/'Benchmark-equivalent supply'!P$3)</f>
        <v>8.8064516129032266E-2</v>
      </c>
      <c r="Q35" s="32">
        <f>'Seaborne Supply'!Q33*(1-Assumptions!$D33/100)*(Assumptions!$C33/100/'Benchmark-equivalent supply'!Q$3)</f>
        <v>8.8064516129032266E-2</v>
      </c>
      <c r="R35" s="32">
        <f>'Seaborne Supply'!R33*(1-Assumptions!$D33/100)*(Assumptions!$C33/100/'Benchmark-equivalent supply'!R$3)</f>
        <v>8.8064516129032266E-2</v>
      </c>
      <c r="S35" s="32">
        <f>'Seaborne Supply'!S33*(1-Assumptions!$D33/100)*(Assumptions!$C33/100/'Benchmark-equivalent supply'!S$3)</f>
        <v>0</v>
      </c>
      <c r="T35" s="32">
        <f>'Seaborne Supply'!T33*(1-Assumptions!$D33/100)*(Assumptions!$C33/100/'Benchmark-equivalent supply'!T$3)</f>
        <v>8.9508196721311481E-2</v>
      </c>
      <c r="U35" s="32">
        <f>'Seaborne Supply'!U33*(1-Assumptions!$D33/100)*(Assumptions!$C33/100/'Benchmark-equivalent supply'!U$3)</f>
        <v>8.9508196721311481E-2</v>
      </c>
      <c r="V35" s="32">
        <f>'Seaborne Supply'!V33*(1-Assumptions!$D33/100)*(Assumptions!$C33/100/'Benchmark-equivalent supply'!V$3)</f>
        <v>8.9508196721311481E-2</v>
      </c>
      <c r="W35" s="32">
        <f>'Seaborne Supply'!W33*(1-Assumptions!$D33/100)*(Assumptions!$C33/100/'Benchmark-equivalent supply'!W$3)</f>
        <v>8.9508196721311481E-2</v>
      </c>
      <c r="X35" s="32">
        <f>'Seaborne Supply'!X33*(1-Assumptions!$D33/100)*(Assumptions!$C33/100/'Benchmark-equivalent supply'!X$3)</f>
        <v>8.9508196721311481E-2</v>
      </c>
      <c r="Y35" s="32">
        <f>'Seaborne Supply'!Y33*(1-Assumptions!$D33/100)*(Assumptions!$C33/100/'Benchmark-equivalent supply'!Y$3)</f>
        <v>8.9508196721311481E-2</v>
      </c>
      <c r="Z35" s="32">
        <f>'Seaborne Supply'!Z33*(1-Assumptions!$D33/100)*(Assumptions!$C33/100/'Benchmark-equivalent supply'!Z$3)</f>
        <v>8.9508196721311481E-2</v>
      </c>
      <c r="AA35" s="32">
        <f>'Seaborne Supply'!AA33*(1-Assumptions!$D33/100)*(Assumptions!$C33/100/'Benchmark-equivalent supply'!AA$3)</f>
        <v>8.9508196721311481E-2</v>
      </c>
      <c r="AB35" s="32">
        <f>'Seaborne Supply'!AB33*(1-Assumptions!$D33/100)*(Assumptions!$C33/100/'Benchmark-equivalent supply'!AB$3)</f>
        <v>8.9508196721311481E-2</v>
      </c>
    </row>
    <row r="36" spans="1:28" x14ac:dyDescent="0.2">
      <c r="A36" s="7" t="s">
        <v>276</v>
      </c>
      <c r="C36" s="32">
        <f>'Seaborne Supply'!C34*(1-Assumptions!$D34/100)*(Assumptions!$C34/100/'Benchmark-equivalent supply'!C$3)</f>
        <v>0</v>
      </c>
      <c r="D36" s="32">
        <f>'Seaborne Supply'!D34*(1-Assumptions!$D34/100)*(Assumptions!$C34/100/'Benchmark-equivalent supply'!D$3)</f>
        <v>0</v>
      </c>
      <c r="E36" s="32">
        <f>'Seaborne Supply'!E34*(1-Assumptions!$D34/100)*(Assumptions!$C34/100/'Benchmark-equivalent supply'!E$3)</f>
        <v>0</v>
      </c>
      <c r="F36" s="32">
        <f>'Seaborne Supply'!F34*(1-Assumptions!$D34/100)*(Assumptions!$C34/100/'Benchmark-equivalent supply'!F$3)</f>
        <v>0</v>
      </c>
      <c r="G36" s="32">
        <f>'Seaborne Supply'!G34*(1-Assumptions!$D34/100)*(Assumptions!$C34/100/'Benchmark-equivalent supply'!G$3)</f>
        <v>0</v>
      </c>
      <c r="H36" s="32">
        <f>'Seaborne Supply'!H34*(1-Assumptions!$D34/100)*(Assumptions!$C34/100/'Benchmark-equivalent supply'!H$3)</f>
        <v>0</v>
      </c>
      <c r="I36" s="32">
        <f>'Seaborne Supply'!I34*(1-Assumptions!$D34/100)*(Assumptions!$C34/100/'Benchmark-equivalent supply'!I$3)</f>
        <v>0</v>
      </c>
      <c r="J36" s="32">
        <f>'Seaborne Supply'!J34*(1-Assumptions!$D34/100)*(Assumptions!$C34/100/'Benchmark-equivalent supply'!J$3)</f>
        <v>0</v>
      </c>
      <c r="K36" s="32">
        <f>'Seaborne Supply'!K34*(1-Assumptions!$D34/100)*(Assumptions!$C34/100/'Benchmark-equivalent supply'!K$3)</f>
        <v>0.10353225806451613</v>
      </c>
      <c r="L36" s="32">
        <f>'Seaborne Supply'!L34*(1-Assumptions!$D34/100)*(Assumptions!$C34/100/'Benchmark-equivalent supply'!L$3)</f>
        <v>0.10353225806451613</v>
      </c>
      <c r="M36" s="32">
        <f>'Seaborne Supply'!M34*(1-Assumptions!$D34/100)*(Assumptions!$C34/100/'Benchmark-equivalent supply'!M$3)</f>
        <v>0</v>
      </c>
      <c r="N36" s="32">
        <f>'Seaborne Supply'!N34*(1-Assumptions!$D34/100)*(Assumptions!$C34/100/'Benchmark-equivalent supply'!N$3)</f>
        <v>0.10353225806451613</v>
      </c>
      <c r="O36" s="32">
        <f>'Seaborne Supply'!O34*(1-Assumptions!$D34/100)*(Assumptions!$C34/100/'Benchmark-equivalent supply'!O$3)</f>
        <v>0.10353225806451613</v>
      </c>
      <c r="P36" s="32">
        <f>'Seaborne Supply'!P34*(1-Assumptions!$D34/100)*(Assumptions!$C34/100/'Benchmark-equivalent supply'!P$3)</f>
        <v>0.10353225806451613</v>
      </c>
      <c r="Q36" s="32">
        <f>'Seaborne Supply'!Q34*(1-Assumptions!$D34/100)*(Assumptions!$C34/100/'Benchmark-equivalent supply'!Q$3)</f>
        <v>0.31059677419354836</v>
      </c>
      <c r="R36" s="32">
        <f>'Seaborne Supply'!R34*(1-Assumptions!$D34/100)*(Assumptions!$C34/100/'Benchmark-equivalent supply'!R$3)</f>
        <v>0.62119354838709673</v>
      </c>
      <c r="S36" s="32">
        <f>'Seaborne Supply'!S34*(1-Assumptions!$D34/100)*(Assumptions!$C34/100/'Benchmark-equivalent supply'!S$3)</f>
        <v>0.10522950819672132</v>
      </c>
      <c r="T36" s="32">
        <f>'Seaborne Supply'!T34*(1-Assumptions!$D34/100)*(Assumptions!$C34/100/'Benchmark-equivalent supply'!T$3)</f>
        <v>0.31568852459016389</v>
      </c>
      <c r="U36" s="32">
        <f>'Seaborne Supply'!U34*(1-Assumptions!$D34/100)*(Assumptions!$C34/100/'Benchmark-equivalent supply'!U$3)</f>
        <v>0.42091803278688528</v>
      </c>
      <c r="V36" s="32">
        <f>'Seaborne Supply'!V34*(1-Assumptions!$D34/100)*(Assumptions!$C34/100/'Benchmark-equivalent supply'!V$3)</f>
        <v>0.42091803278688528</v>
      </c>
      <c r="W36" s="32">
        <f>'Seaborne Supply'!W34*(1-Assumptions!$D34/100)*(Assumptions!$C34/100/'Benchmark-equivalent supply'!W$3)</f>
        <v>0.42091803278688528</v>
      </c>
      <c r="X36" s="32">
        <f>'Seaborne Supply'!X34*(1-Assumptions!$D34/100)*(Assumptions!$C34/100/'Benchmark-equivalent supply'!X$3)</f>
        <v>0.42091803278688528</v>
      </c>
      <c r="Y36" s="32">
        <f>'Seaborne Supply'!Y34*(1-Assumptions!$D34/100)*(Assumptions!$C34/100/'Benchmark-equivalent supply'!Y$3)</f>
        <v>0.42091803278688528</v>
      </c>
      <c r="Z36" s="32">
        <f>'Seaborne Supply'!Z34*(1-Assumptions!$D34/100)*(Assumptions!$C34/100/'Benchmark-equivalent supply'!Z$3)</f>
        <v>0.42091803278688528</v>
      </c>
      <c r="AA36" s="32">
        <f>'Seaborne Supply'!AA34*(1-Assumptions!$D34/100)*(Assumptions!$C34/100/'Benchmark-equivalent supply'!AA$3)</f>
        <v>0.42091803278688528</v>
      </c>
      <c r="AB36" s="32">
        <f>'Seaborne Supply'!AB34*(1-Assumptions!$D34/100)*(Assumptions!$C34/100/'Benchmark-equivalent supply'!AB$3)</f>
        <v>0.42091803278688528</v>
      </c>
    </row>
    <row r="37" spans="1:28" x14ac:dyDescent="0.2">
      <c r="A37" s="7" t="s">
        <v>279</v>
      </c>
      <c r="C37" s="32">
        <f>'Seaborne Supply'!C35*(1-Assumptions!$D35/100)*(Assumptions!$C35/100/'Benchmark-equivalent supply'!C$3)</f>
        <v>0</v>
      </c>
      <c r="D37" s="32">
        <f>'Seaborne Supply'!D35*(1-Assumptions!$D35/100)*(Assumptions!$C35/100/'Benchmark-equivalent supply'!D$3)</f>
        <v>0</v>
      </c>
      <c r="E37" s="32">
        <f>'Seaborne Supply'!E35*(1-Assumptions!$D35/100)*(Assumptions!$C35/100/'Benchmark-equivalent supply'!E$3)</f>
        <v>0</v>
      </c>
      <c r="F37" s="32">
        <f>'Seaborne Supply'!F35*(1-Assumptions!$D35/100)*(Assumptions!$C35/100/'Benchmark-equivalent supply'!F$3)</f>
        <v>0</v>
      </c>
      <c r="G37" s="32">
        <f>'Seaborne Supply'!G35*(1-Assumptions!$D35/100)*(Assumptions!$C35/100/'Benchmark-equivalent supply'!G$3)</f>
        <v>0</v>
      </c>
      <c r="H37" s="32">
        <f>'Seaborne Supply'!H35*(1-Assumptions!$D35/100)*(Assumptions!$C35/100/'Benchmark-equivalent supply'!H$3)</f>
        <v>0</v>
      </c>
      <c r="I37" s="32">
        <f>'Seaborne Supply'!I35*(1-Assumptions!$D35/100)*(Assumptions!$C35/100/'Benchmark-equivalent supply'!I$3)</f>
        <v>0</v>
      </c>
      <c r="J37" s="32">
        <f>'Seaborne Supply'!J35*(1-Assumptions!$D35/100)*(Assumptions!$C35/100/'Benchmark-equivalent supply'!J$3)</f>
        <v>0</v>
      </c>
      <c r="K37" s="32">
        <f>'Seaborne Supply'!K35*(1-Assumptions!$D35/100)*(Assumptions!$C35/100/'Benchmark-equivalent supply'!K$3)</f>
        <v>0</v>
      </c>
      <c r="L37" s="32">
        <f>'Seaborne Supply'!L35*(1-Assumptions!$D35/100)*(Assumptions!$C35/100/'Benchmark-equivalent supply'!L$3)</f>
        <v>0</v>
      </c>
      <c r="M37" s="32">
        <f>'Seaborne Supply'!M35*(1-Assumptions!$D35/100)*(Assumptions!$C35/100/'Benchmark-equivalent supply'!M$3)</f>
        <v>0</v>
      </c>
      <c r="N37" s="32">
        <f>'Seaborne Supply'!N35*(1-Assumptions!$D35/100)*(Assumptions!$C35/100/'Benchmark-equivalent supply'!N$3)</f>
        <v>0</v>
      </c>
      <c r="O37" s="32">
        <f>'Seaborne Supply'!O35*(1-Assumptions!$D35/100)*(Assumptions!$C35/100/'Benchmark-equivalent supply'!O$3)</f>
        <v>0</v>
      </c>
      <c r="P37" s="32">
        <f>'Seaborne Supply'!P35*(1-Assumptions!$D35/100)*(Assumptions!$C35/100/'Benchmark-equivalent supply'!P$3)</f>
        <v>0.10353225806451613</v>
      </c>
      <c r="Q37" s="32">
        <f>'Seaborne Supply'!Q35*(1-Assumptions!$D35/100)*(Assumptions!$C35/100/'Benchmark-equivalent supply'!Q$3)</f>
        <v>0.10353225806451613</v>
      </c>
      <c r="R37" s="32">
        <f>'Seaborne Supply'!R35*(1-Assumptions!$D35/100)*(Assumptions!$C35/100/'Benchmark-equivalent supply'!R$3)</f>
        <v>0.31059677419354836</v>
      </c>
      <c r="S37" s="32">
        <f>'Seaborne Supply'!S35*(1-Assumptions!$D35/100)*(Assumptions!$C35/100/'Benchmark-equivalent supply'!S$3)</f>
        <v>0.10522950819672132</v>
      </c>
      <c r="T37" s="32">
        <f>'Seaborne Supply'!T35*(1-Assumptions!$D35/100)*(Assumptions!$C35/100/'Benchmark-equivalent supply'!T$3)</f>
        <v>0.21045901639344264</v>
      </c>
      <c r="U37" s="32">
        <f>'Seaborne Supply'!U35*(1-Assumptions!$D35/100)*(Assumptions!$C35/100/'Benchmark-equivalent supply'!U$3)</f>
        <v>0.31568852459016389</v>
      </c>
      <c r="V37" s="32">
        <f>'Seaborne Supply'!V35*(1-Assumptions!$D35/100)*(Assumptions!$C35/100/'Benchmark-equivalent supply'!V$3)</f>
        <v>0.31568852459016389</v>
      </c>
      <c r="W37" s="32">
        <f>'Seaborne Supply'!W35*(1-Assumptions!$D35/100)*(Assumptions!$C35/100/'Benchmark-equivalent supply'!W$3)</f>
        <v>0.31568852459016389</v>
      </c>
      <c r="X37" s="32">
        <f>'Seaborne Supply'!X35*(1-Assumptions!$D35/100)*(Assumptions!$C35/100/'Benchmark-equivalent supply'!X$3)</f>
        <v>0.31568852459016389</v>
      </c>
      <c r="Y37" s="32">
        <f>'Seaborne Supply'!Y35*(1-Assumptions!$D35/100)*(Assumptions!$C35/100/'Benchmark-equivalent supply'!Y$3)</f>
        <v>0.31568852459016389</v>
      </c>
      <c r="Z37" s="32">
        <f>'Seaborne Supply'!Z35*(1-Assumptions!$D35/100)*(Assumptions!$C35/100/'Benchmark-equivalent supply'!Z$3)</f>
        <v>0.31568852459016389</v>
      </c>
      <c r="AA37" s="32">
        <f>'Seaborne Supply'!AA35*(1-Assumptions!$D35/100)*(Assumptions!$C35/100/'Benchmark-equivalent supply'!AA$3)</f>
        <v>0.31568852459016389</v>
      </c>
      <c r="AB37" s="32">
        <f>'Seaborne Supply'!AB35*(1-Assumptions!$D35/100)*(Assumptions!$C35/100/'Benchmark-equivalent supply'!AB$3)</f>
        <v>0.31568852459016389</v>
      </c>
    </row>
    <row r="38" spans="1:28" x14ac:dyDescent="0.2">
      <c r="A38" s="7" t="s">
        <v>173</v>
      </c>
      <c r="C38" s="32">
        <f>'Seaborne Supply'!C36*(1-Assumptions!$D36/100)*(Assumptions!$C36/100/'Benchmark-equivalent supply'!C$3)</f>
        <v>0</v>
      </c>
      <c r="D38" s="32">
        <f>'Seaborne Supply'!D36*(1-Assumptions!$D36/100)*(Assumptions!$C36/100/'Benchmark-equivalent supply'!D$3)</f>
        <v>0</v>
      </c>
      <c r="E38" s="32">
        <f>'Seaborne Supply'!E36*(1-Assumptions!$D36/100)*(Assumptions!$C36/100/'Benchmark-equivalent supply'!E$3)</f>
        <v>1.2470564516129032</v>
      </c>
      <c r="F38" s="32">
        <f>'Seaborne Supply'!F36*(1-Assumptions!$D36/100)*(Assumptions!$C36/100/'Benchmark-equivalent supply'!F$3)</f>
        <v>3.5493145161290327</v>
      </c>
      <c r="G38" s="32">
        <f>'Seaborne Supply'!G36*(1-Assumptions!$D36/100)*(Assumptions!$C36/100/'Benchmark-equivalent supply'!G$3)</f>
        <v>2.5900403225806454</v>
      </c>
      <c r="H38" s="32">
        <f>'Seaborne Supply'!H36*(1-Assumptions!$D36/100)*(Assumptions!$C36/100/'Benchmark-equivalent supply'!H$3)</f>
        <v>0</v>
      </c>
      <c r="I38" s="32">
        <f>'Seaborne Supply'!I36*(1-Assumptions!$D36/100)*(Assumptions!$C36/100/'Benchmark-equivalent supply'!I$3)</f>
        <v>0</v>
      </c>
      <c r="J38" s="32">
        <f>'Seaborne Supply'!J36*(1-Assumptions!$D36/100)*(Assumptions!$C36/100/'Benchmark-equivalent supply'!J$3)</f>
        <v>0</v>
      </c>
      <c r="K38" s="32">
        <f>'Seaborne Supply'!K36*(1-Assumptions!$D36/100)*(Assumptions!$C36/100/'Benchmark-equivalent supply'!K$3)</f>
        <v>0</v>
      </c>
      <c r="L38" s="32">
        <f>'Seaborne Supply'!L36*(1-Assumptions!$D36/100)*(Assumptions!$C36/100/'Benchmark-equivalent supply'!L$3)</f>
        <v>0.19185483870967743</v>
      </c>
      <c r="M38" s="32">
        <f>'Seaborne Supply'!M36*(1-Assumptions!$D36/100)*(Assumptions!$C36/100/'Benchmark-equivalent supply'!M$3)</f>
        <v>0</v>
      </c>
      <c r="N38" s="32">
        <f>'Seaborne Supply'!N36*(1-Assumptions!$D36/100)*(Assumptions!$C36/100/'Benchmark-equivalent supply'!N$3)</f>
        <v>0.95927419354838706</v>
      </c>
      <c r="O38" s="32">
        <f>'Seaborne Supply'!O36*(1-Assumptions!$D36/100)*(Assumptions!$C36/100/'Benchmark-equivalent supply'!O$3)</f>
        <v>2.0144758064516131</v>
      </c>
      <c r="P38" s="32">
        <f>'Seaborne Supply'!P36*(1-Assumptions!$D36/100)*(Assumptions!$C36/100/'Benchmark-equivalent supply'!P$3)</f>
        <v>2.7818951612903229</v>
      </c>
      <c r="Q38" s="32">
        <f>'Seaborne Supply'!Q36*(1-Assumptions!$D36/100)*(Assumptions!$C36/100/'Benchmark-equivalent supply'!Q$3)</f>
        <v>1.9185483870967741</v>
      </c>
      <c r="R38" s="32">
        <f>'Seaborne Supply'!R36*(1-Assumptions!$D36/100)*(Assumptions!$C36/100/'Benchmark-equivalent supply'!R$3)</f>
        <v>2.6859677419354835</v>
      </c>
      <c r="S38" s="32">
        <f>'Seaborne Supply'!S36*(1-Assumptions!$D36/100)*(Assumptions!$C36/100/'Benchmark-equivalent supply'!S$3)</f>
        <v>3.3150000000000004</v>
      </c>
      <c r="T38" s="32">
        <f>'Seaborne Supply'!T36*(1-Assumptions!$D36/100)*(Assumptions!$C36/100/'Benchmark-equivalent supply'!T$3)</f>
        <v>3.6075000000000008</v>
      </c>
      <c r="U38" s="32">
        <f>'Seaborne Supply'!U36*(1-Assumptions!$D36/100)*(Assumptions!$C36/100/'Benchmark-equivalent supply'!U$3)</f>
        <v>3.9000000000000004</v>
      </c>
      <c r="V38" s="32">
        <f>'Seaborne Supply'!V36*(1-Assumptions!$D36/100)*(Assumptions!$C36/100/'Benchmark-equivalent supply'!V$3)</f>
        <v>4.1924999999999999</v>
      </c>
      <c r="W38" s="32">
        <f>'Seaborne Supply'!W36*(1-Assumptions!$D36/100)*(Assumptions!$C36/100/'Benchmark-equivalent supply'!W$3)</f>
        <v>4.3875000000000002</v>
      </c>
      <c r="X38" s="32">
        <f>'Seaborne Supply'!X36*(1-Assumptions!$D36/100)*(Assumptions!$C36/100/'Benchmark-equivalent supply'!X$3)</f>
        <v>4.5825000000000005</v>
      </c>
      <c r="Y38" s="32">
        <f>'Seaborne Supply'!Y36*(1-Assumptions!$D36/100)*(Assumptions!$C36/100/'Benchmark-equivalent supply'!Y$3)</f>
        <v>4.8750000000000009</v>
      </c>
      <c r="Z38" s="32">
        <f>'Seaborne Supply'!Z36*(1-Assumptions!$D36/100)*(Assumptions!$C36/100/'Benchmark-equivalent supply'!Z$3)</f>
        <v>4.8750000000000009</v>
      </c>
      <c r="AA38" s="32">
        <f>'Seaborne Supply'!AA36*(1-Assumptions!$D36/100)*(Assumptions!$C36/100/'Benchmark-equivalent supply'!AA$3)</f>
        <v>4.8750000000000009</v>
      </c>
      <c r="AB38" s="32">
        <f>'Seaborne Supply'!AB36*(1-Assumptions!$D36/100)*(Assumptions!$C36/100/'Benchmark-equivalent supply'!AB$3)</f>
        <v>4.8750000000000009</v>
      </c>
    </row>
    <row r="39" spans="1:28" x14ac:dyDescent="0.2">
      <c r="A39" s="7" t="s">
        <v>177</v>
      </c>
      <c r="C39" s="32">
        <f>'Seaborne Supply'!C37*(1-Assumptions!$D37/100)*(Assumptions!$C37/100/'Benchmark-equivalent supply'!C$3)</f>
        <v>0</v>
      </c>
      <c r="D39" s="32">
        <f>'Seaborne Supply'!D37*(1-Assumptions!$D37/100)*(Assumptions!$C37/100/'Benchmark-equivalent supply'!D$3)</f>
        <v>1.1943225806451614</v>
      </c>
      <c r="E39" s="32">
        <f>'Seaborne Supply'!E37*(1-Assumptions!$D37/100)*(Assumptions!$C37/100/'Benchmark-equivalent supply'!E$3)</f>
        <v>3.7667096774193545</v>
      </c>
      <c r="F39" s="32">
        <f>'Seaborne Supply'!F37*(1-Assumptions!$D37/100)*(Assumptions!$C37/100/'Benchmark-equivalent supply'!F$3)</f>
        <v>11.116387096774194</v>
      </c>
      <c r="G39" s="32">
        <f>'Seaborne Supply'!G37*(1-Assumptions!$D37/100)*(Assumptions!$C37/100/'Benchmark-equivalent supply'!G$3)</f>
        <v>14.42374193548387</v>
      </c>
      <c r="H39" s="32">
        <f>'Seaborne Supply'!H37*(1-Assumptions!$D37/100)*(Assumptions!$C37/100/'Benchmark-equivalent supply'!H$3)</f>
        <v>0.73496774193548398</v>
      </c>
      <c r="I39" s="32">
        <f>'Seaborne Supply'!I37*(1-Assumptions!$D37/100)*(Assumptions!$C37/100/'Benchmark-equivalent supply'!I$3)</f>
        <v>3.7667096774193545</v>
      </c>
      <c r="J39" s="32">
        <f>'Seaborne Supply'!J37*(1-Assumptions!$D37/100)*(Assumptions!$C37/100/'Benchmark-equivalent supply'!J$3)</f>
        <v>5.5122580645161285</v>
      </c>
      <c r="K39" s="32">
        <f>'Seaborne Supply'!K37*(1-Assumptions!$D37/100)*(Assumptions!$C37/100/'Benchmark-equivalent supply'!K$3)</f>
        <v>0</v>
      </c>
      <c r="L39" s="32">
        <f>'Seaborne Supply'!L37*(1-Assumptions!$D37/100)*(Assumptions!$C37/100/'Benchmark-equivalent supply'!L$3)</f>
        <v>0</v>
      </c>
      <c r="M39" s="32">
        <f>'Seaborne Supply'!M37*(1-Assumptions!$D37/100)*(Assumptions!$C37/100/'Benchmark-equivalent supply'!M$3)</f>
        <v>0</v>
      </c>
      <c r="N39" s="32">
        <f>'Seaborne Supply'!N37*(1-Assumptions!$D37/100)*(Assumptions!$C37/100/'Benchmark-equivalent supply'!N$3)</f>
        <v>1.8374193548387097</v>
      </c>
      <c r="O39" s="32">
        <f>'Seaborne Supply'!O37*(1-Assumptions!$D37/100)*(Assumptions!$C37/100/'Benchmark-equivalent supply'!O$3)</f>
        <v>5.7878709677419353</v>
      </c>
      <c r="P39" s="32">
        <f>'Seaborne Supply'!P37*(1-Assumptions!$D37/100)*(Assumptions!$C37/100/'Benchmark-equivalent supply'!P$3)</f>
        <v>6.9821935483870963</v>
      </c>
      <c r="Q39" s="32">
        <f>'Seaborne Supply'!Q37*(1-Assumptions!$D37/100)*(Assumptions!$C37/100/'Benchmark-equivalent supply'!Q$3)</f>
        <v>8.2683870967741928</v>
      </c>
      <c r="R39" s="32">
        <f>'Seaborne Supply'!R37*(1-Assumptions!$D37/100)*(Assumptions!$C37/100/'Benchmark-equivalent supply'!R$3)</f>
        <v>8.2683870967741928</v>
      </c>
      <c r="S39" s="32">
        <f>'Seaborne Supply'!S37*(1-Assumptions!$D37/100)*(Assumptions!$C37/100/'Benchmark-equivalent supply'!S$3)</f>
        <v>9.337704918032788</v>
      </c>
      <c r="T39" s="32">
        <f>'Seaborne Supply'!T37*(1-Assumptions!$D37/100)*(Assumptions!$C37/100/'Benchmark-equivalent supply'!T$3)</f>
        <v>9.337704918032788</v>
      </c>
      <c r="U39" s="32">
        <f>'Seaborne Supply'!U37*(1-Assumptions!$D37/100)*(Assumptions!$C37/100/'Benchmark-equivalent supply'!U$3)</f>
        <v>9.337704918032788</v>
      </c>
      <c r="V39" s="32">
        <f>'Seaborne Supply'!V37*(1-Assumptions!$D37/100)*(Assumptions!$C37/100/'Benchmark-equivalent supply'!V$3)</f>
        <v>9.337704918032788</v>
      </c>
      <c r="W39" s="32">
        <f>'Seaborne Supply'!W37*(1-Assumptions!$D37/100)*(Assumptions!$C37/100/'Benchmark-equivalent supply'!W$3)</f>
        <v>9.337704918032788</v>
      </c>
      <c r="X39" s="32">
        <f>'Seaborne Supply'!X37*(1-Assumptions!$D37/100)*(Assumptions!$C37/100/'Benchmark-equivalent supply'!X$3)</f>
        <v>9.337704918032788</v>
      </c>
      <c r="Y39" s="32">
        <f>'Seaborne Supply'!Y37*(1-Assumptions!$D37/100)*(Assumptions!$C37/100/'Benchmark-equivalent supply'!Y$3)</f>
        <v>9.337704918032788</v>
      </c>
      <c r="Z39" s="32">
        <f>'Seaborne Supply'!Z37*(1-Assumptions!$D37/100)*(Assumptions!$C37/100/'Benchmark-equivalent supply'!Z$3)</f>
        <v>9.337704918032788</v>
      </c>
      <c r="AA39" s="32">
        <f>'Seaborne Supply'!AA37*(1-Assumptions!$D37/100)*(Assumptions!$C37/100/'Benchmark-equivalent supply'!AA$3)</f>
        <v>9.337704918032788</v>
      </c>
      <c r="AB39" s="32">
        <f>'Seaborne Supply'!AB37*(1-Assumptions!$D37/100)*(Assumptions!$C37/100/'Benchmark-equivalent supply'!AB$3)</f>
        <v>9.337704918032788</v>
      </c>
    </row>
    <row r="40" spans="1:28" x14ac:dyDescent="0.2">
      <c r="A40" s="7" t="s">
        <v>119</v>
      </c>
      <c r="C40" s="32">
        <f>'Seaborne Supply'!C38*(1-Assumptions!$D38/100)*(Assumptions!$C38/100/'Benchmark-equivalent supply'!C$3)</f>
        <v>0</v>
      </c>
      <c r="D40" s="32">
        <f>'Seaborne Supply'!D38*(1-Assumptions!$D38/100)*(Assumptions!$C38/100/'Benchmark-equivalent supply'!D$3)</f>
        <v>0</v>
      </c>
      <c r="E40" s="32">
        <f>'Seaborne Supply'!E38*(1-Assumptions!$D38/100)*(Assumptions!$C38/100/'Benchmark-equivalent supply'!E$3)</f>
        <v>0</v>
      </c>
      <c r="F40" s="32">
        <f>'Seaborne Supply'!F38*(1-Assumptions!$D38/100)*(Assumptions!$C38/100/'Benchmark-equivalent supply'!F$3)</f>
        <v>0</v>
      </c>
      <c r="G40" s="32">
        <f>'Seaborne Supply'!G38*(1-Assumptions!$D38/100)*(Assumptions!$C38/100/'Benchmark-equivalent supply'!G$3)</f>
        <v>0</v>
      </c>
      <c r="H40" s="32">
        <f>'Seaborne Supply'!H38*(1-Assumptions!$D38/100)*(Assumptions!$C38/100/'Benchmark-equivalent supply'!H$3)</f>
        <v>0</v>
      </c>
      <c r="I40" s="32">
        <f>'Seaborne Supply'!I38*(1-Assumptions!$D38/100)*(Assumptions!$C38/100/'Benchmark-equivalent supply'!I$3)</f>
        <v>0</v>
      </c>
      <c r="J40" s="32">
        <f>'Seaborne Supply'!J38*(1-Assumptions!$D38/100)*(Assumptions!$C38/100/'Benchmark-equivalent supply'!J$3)</f>
        <v>0</v>
      </c>
      <c r="K40" s="32">
        <f>'Seaborne Supply'!K38*(1-Assumptions!$D38/100)*(Assumptions!$C38/100/'Benchmark-equivalent supply'!K$3)</f>
        <v>0</v>
      </c>
      <c r="L40" s="32">
        <f>'Seaborne Supply'!L38*(1-Assumptions!$D38/100)*(Assumptions!$C38/100/'Benchmark-equivalent supply'!L$3)</f>
        <v>0</v>
      </c>
      <c r="M40" s="32">
        <f>'Seaborne Supply'!M38*(1-Assumptions!$D38/100)*(Assumptions!$C38/100/'Benchmark-equivalent supply'!M$3)</f>
        <v>0</v>
      </c>
      <c r="N40" s="32">
        <f>'Seaborne Supply'!N38*(1-Assumptions!$D38/100)*(Assumptions!$C38/100/'Benchmark-equivalent supply'!N$3)</f>
        <v>0</v>
      </c>
      <c r="O40" s="32">
        <f>'Seaborne Supply'!O38*(1-Assumptions!$D38/100)*(Assumptions!$C38/100/'Benchmark-equivalent supply'!O$3)</f>
        <v>0</v>
      </c>
      <c r="P40" s="32">
        <f>'Seaborne Supply'!P38*(1-Assumptions!$D38/100)*(Assumptions!$C38/100/'Benchmark-equivalent supply'!P$3)</f>
        <v>0</v>
      </c>
      <c r="Q40" s="32">
        <f>'Seaborne Supply'!Q38*(1-Assumptions!$D38/100)*(Assumptions!$C38/100/'Benchmark-equivalent supply'!Q$3)</f>
        <v>0</v>
      </c>
      <c r="R40" s="32">
        <f>'Seaborne Supply'!R38*(1-Assumptions!$D38/100)*(Assumptions!$C38/100/'Benchmark-equivalent supply'!R$3)</f>
        <v>0.19438709677419355</v>
      </c>
      <c r="S40" s="32">
        <f>'Seaborne Supply'!S38*(1-Assumptions!$D38/100)*(Assumptions!$C38/100/'Benchmark-equivalent supply'!S$3)</f>
        <v>9.8786885245901654</v>
      </c>
      <c r="T40" s="32">
        <f>'Seaborne Supply'!T38*(1-Assumptions!$D38/100)*(Assumptions!$C38/100/'Benchmark-equivalent supply'!T$3)</f>
        <v>24.696721311475407</v>
      </c>
      <c r="U40" s="32">
        <f>'Seaborne Supply'!U38*(1-Assumptions!$D38/100)*(Assumptions!$C38/100/'Benchmark-equivalent supply'!U$3)</f>
        <v>49.393442622950815</v>
      </c>
      <c r="V40" s="32">
        <f>'Seaborne Supply'!V38*(1-Assumptions!$D38/100)*(Assumptions!$C38/100/'Benchmark-equivalent supply'!V$3)</f>
        <v>59.272131147540982</v>
      </c>
      <c r="W40" s="32">
        <f>'Seaborne Supply'!W38*(1-Assumptions!$D38/100)*(Assumptions!$C38/100/'Benchmark-equivalent supply'!W$3)</f>
        <v>59.272131147540982</v>
      </c>
      <c r="X40" s="32">
        <f>'Seaborne Supply'!X38*(1-Assumptions!$D38/100)*(Assumptions!$C38/100/'Benchmark-equivalent supply'!X$3)</f>
        <v>59.272131147540982</v>
      </c>
      <c r="Y40" s="32">
        <f>'Seaborne Supply'!Y38*(1-Assumptions!$D38/100)*(Assumptions!$C38/100/'Benchmark-equivalent supply'!Y$3)</f>
        <v>59.272131147540982</v>
      </c>
      <c r="Z40" s="32">
        <f>'Seaborne Supply'!Z38*(1-Assumptions!$D38/100)*(Assumptions!$C38/100/'Benchmark-equivalent supply'!Z$3)</f>
        <v>59.272131147540982</v>
      </c>
      <c r="AA40" s="32">
        <f>'Seaborne Supply'!AA38*(1-Assumptions!$D38/100)*(Assumptions!$C38/100/'Benchmark-equivalent supply'!AA$3)</f>
        <v>59.272131147540982</v>
      </c>
      <c r="AB40" s="32">
        <f>'Seaborne Supply'!AB38*(1-Assumptions!$D38/100)*(Assumptions!$C38/100/'Benchmark-equivalent supply'!AB$3)</f>
        <v>59.272131147540982</v>
      </c>
    </row>
    <row r="41" spans="1:28" x14ac:dyDescent="0.2">
      <c r="A41" s="7" t="s">
        <v>120</v>
      </c>
      <c r="C41" s="32">
        <f>'Seaborne Supply'!C39*(1-Assumptions!$D39/100)*(Assumptions!$C39/100/'Benchmark-equivalent supply'!C$3)</f>
        <v>0</v>
      </c>
      <c r="D41" s="32">
        <f>'Seaborne Supply'!D39*(1-Assumptions!$D39/100)*(Assumptions!$C39/100/'Benchmark-equivalent supply'!D$3)</f>
        <v>0</v>
      </c>
      <c r="E41" s="32">
        <f>'Seaborne Supply'!E39*(1-Assumptions!$D39/100)*(Assumptions!$C39/100/'Benchmark-equivalent supply'!E$3)</f>
        <v>0</v>
      </c>
      <c r="F41" s="32">
        <f>'Seaborne Supply'!F39*(1-Assumptions!$D39/100)*(Assumptions!$C39/100/'Benchmark-equivalent supply'!F$3)</f>
        <v>0</v>
      </c>
      <c r="G41" s="32">
        <f>'Seaborne Supply'!G39*(1-Assumptions!$D39/100)*(Assumptions!$C39/100/'Benchmark-equivalent supply'!G$3)</f>
        <v>0</v>
      </c>
      <c r="H41" s="32">
        <f>'Seaborne Supply'!H39*(1-Assumptions!$D39/100)*(Assumptions!$C39/100/'Benchmark-equivalent supply'!H$3)</f>
        <v>0</v>
      </c>
      <c r="I41" s="32">
        <f>'Seaborne Supply'!I39*(1-Assumptions!$D39/100)*(Assumptions!$C39/100/'Benchmark-equivalent supply'!I$3)</f>
        <v>0</v>
      </c>
      <c r="J41" s="32">
        <f>'Seaborne Supply'!J39*(1-Assumptions!$D39/100)*(Assumptions!$C39/100/'Benchmark-equivalent supply'!J$3)</f>
        <v>0</v>
      </c>
      <c r="K41" s="32">
        <f>'Seaborne Supply'!K39*(1-Assumptions!$D39/100)*(Assumptions!$C39/100/'Benchmark-equivalent supply'!K$3)</f>
        <v>0</v>
      </c>
      <c r="L41" s="32">
        <f>'Seaborne Supply'!L39*(1-Assumptions!$D39/100)*(Assumptions!$C39/100/'Benchmark-equivalent supply'!L$3)</f>
        <v>0</v>
      </c>
      <c r="M41" s="32">
        <f>'Seaborne Supply'!M39*(1-Assumptions!$D39/100)*(Assumptions!$C39/100/'Benchmark-equivalent supply'!M$3)</f>
        <v>0</v>
      </c>
      <c r="N41" s="32">
        <f>'Seaborne Supply'!N39*(1-Assumptions!$D39/100)*(Assumptions!$C39/100/'Benchmark-equivalent supply'!N$3)</f>
        <v>0</v>
      </c>
      <c r="O41" s="32">
        <f>'Seaborne Supply'!O39*(1-Assumptions!$D39/100)*(Assumptions!$C39/100/'Benchmark-equivalent supply'!O$3)</f>
        <v>0</v>
      </c>
      <c r="P41" s="32">
        <f>'Seaborne Supply'!P39*(1-Assumptions!$D39/100)*(Assumptions!$C39/100/'Benchmark-equivalent supply'!P$3)</f>
        <v>0</v>
      </c>
      <c r="Q41" s="32">
        <f>'Seaborne Supply'!Q39*(1-Assumptions!$D39/100)*(Assumptions!$C39/100/'Benchmark-equivalent supply'!Q$3)</f>
        <v>0</v>
      </c>
      <c r="R41" s="32">
        <f>'Seaborne Supply'!R39*(1-Assumptions!$D39/100)*(Assumptions!$C39/100/'Benchmark-equivalent supply'!R$3)</f>
        <v>0.48448387096774198</v>
      </c>
      <c r="S41" s="32">
        <f>'Seaborne Supply'!S39*(1-Assumptions!$D39/100)*(Assumptions!$C39/100/'Benchmark-equivalent supply'!S$3)</f>
        <v>7.3863934426229516</v>
      </c>
      <c r="T41" s="32">
        <f>'Seaborne Supply'!T39*(1-Assumptions!$D39/100)*(Assumptions!$C39/100/'Benchmark-equivalent supply'!T$3)</f>
        <v>22.159180327868853</v>
      </c>
      <c r="U41" s="32">
        <f>'Seaborne Supply'!U39*(1-Assumptions!$D39/100)*(Assumptions!$C39/100/'Benchmark-equivalent supply'!U$3)</f>
        <v>49.242622950819673</v>
      </c>
      <c r="V41" s="32">
        <f>'Seaborne Supply'!V39*(1-Assumptions!$D39/100)*(Assumptions!$C39/100/'Benchmark-equivalent supply'!V$3)</f>
        <v>59.091147540983613</v>
      </c>
      <c r="W41" s="32">
        <f>'Seaborne Supply'!W39*(1-Assumptions!$D39/100)*(Assumptions!$C39/100/'Benchmark-equivalent supply'!W$3)</f>
        <v>59.091147540983613</v>
      </c>
      <c r="X41" s="32">
        <f>'Seaborne Supply'!X39*(1-Assumptions!$D39/100)*(Assumptions!$C39/100/'Benchmark-equivalent supply'!X$3)</f>
        <v>59.091147540983613</v>
      </c>
      <c r="Y41" s="32">
        <f>'Seaborne Supply'!Y39*(1-Assumptions!$D39/100)*(Assumptions!$C39/100/'Benchmark-equivalent supply'!Y$3)</f>
        <v>59.091147540983613</v>
      </c>
      <c r="Z41" s="32">
        <f>'Seaborne Supply'!Z39*(1-Assumptions!$D39/100)*(Assumptions!$C39/100/'Benchmark-equivalent supply'!Z$3)</f>
        <v>59.091147540983613</v>
      </c>
      <c r="AA41" s="32">
        <f>'Seaborne Supply'!AA39*(1-Assumptions!$D39/100)*(Assumptions!$C39/100/'Benchmark-equivalent supply'!AA$3)</f>
        <v>59.091147540983613</v>
      </c>
      <c r="AB41" s="32">
        <f>'Seaborne Supply'!AB39*(1-Assumptions!$D39/100)*(Assumptions!$C39/100/'Benchmark-equivalent supply'!AB$3)</f>
        <v>59.091147540983613</v>
      </c>
    </row>
    <row r="42" spans="1:28" x14ac:dyDescent="0.2">
      <c r="A42" s="7" t="s">
        <v>223</v>
      </c>
      <c r="C42" s="32">
        <f>'Seaborne Supply'!C40*(1-Assumptions!$D40/100)*(Assumptions!$C40/100/'Benchmark-equivalent supply'!C$3)</f>
        <v>4.1793225806451613</v>
      </c>
      <c r="D42" s="32">
        <f>'Seaborne Supply'!D40*(1-Assumptions!$D40/100)*(Assumptions!$C40/100/'Benchmark-equivalent supply'!D$3)</f>
        <v>5.1512580645161288</v>
      </c>
      <c r="E42" s="32">
        <f>'Seaborne Supply'!E40*(1-Assumptions!$D40/100)*(Assumptions!$C40/100/'Benchmark-equivalent supply'!E$3)</f>
        <v>5.3456451612903226</v>
      </c>
      <c r="F42" s="32">
        <f>'Seaborne Supply'!F40*(1-Assumptions!$D40/100)*(Assumptions!$C40/100/'Benchmark-equivalent supply'!F$3)</f>
        <v>6.0260000000000007</v>
      </c>
      <c r="G42" s="32">
        <f>'Seaborne Supply'!G40*(1-Assumptions!$D40/100)*(Assumptions!$C40/100/'Benchmark-equivalent supply'!G$3)</f>
        <v>6.8035483870967743</v>
      </c>
      <c r="H42" s="32">
        <f>'Seaborne Supply'!H40*(1-Assumptions!$D40/100)*(Assumptions!$C40/100/'Benchmark-equivalent supply'!H$3)</f>
        <v>6.9979354838709682</v>
      </c>
      <c r="I42" s="32">
        <f>'Seaborne Supply'!I40*(1-Assumptions!$D40/100)*(Assumptions!$C40/100/'Benchmark-equivalent supply'!I$3)</f>
        <v>7.6782903225806454</v>
      </c>
      <c r="J42" s="32">
        <f>'Seaborne Supply'!J40*(1-Assumptions!$D40/100)*(Assumptions!$C40/100/'Benchmark-equivalent supply'!J$3)</f>
        <v>7.0951290322580647</v>
      </c>
      <c r="K42" s="32">
        <f>'Seaborne Supply'!K40*(1-Assumptions!$D40/100)*(Assumptions!$C40/100/'Benchmark-equivalent supply'!K$3)</f>
        <v>5.2484516129032261</v>
      </c>
      <c r="L42" s="32">
        <f>'Seaborne Supply'!L40*(1-Assumptions!$D40/100)*(Assumptions!$C40/100/'Benchmark-equivalent supply'!L$3)</f>
        <v>0.48596774193548387</v>
      </c>
      <c r="M42" s="32">
        <f>'Seaborne Supply'!M40*(1-Assumptions!$D40/100)*(Assumptions!$C40/100/'Benchmark-equivalent supply'!M$3)</f>
        <v>6.2203870967741937</v>
      </c>
      <c r="N42" s="32">
        <f>'Seaborne Supply'!N40*(1-Assumptions!$D40/100)*(Assumptions!$C40/100/'Benchmark-equivalent supply'!N$3)</f>
        <v>6.1231935483870972</v>
      </c>
      <c r="O42" s="32">
        <f>'Seaborne Supply'!O40*(1-Assumptions!$D40/100)*(Assumptions!$C40/100/'Benchmark-equivalent supply'!O$3)</f>
        <v>7.3867096774193541</v>
      </c>
      <c r="P42" s="32">
        <f>'Seaborne Supply'!P40*(1-Assumptions!$D40/100)*(Assumptions!$C40/100/'Benchmark-equivalent supply'!P$3)</f>
        <v>7.0951290322580647</v>
      </c>
      <c r="Q42" s="32">
        <f>'Seaborne Supply'!Q40*(1-Assumptions!$D40/100)*(Assumptions!$C40/100/'Benchmark-equivalent supply'!Q$3)</f>
        <v>6.3175806451612901</v>
      </c>
      <c r="R42" s="32">
        <f>'Seaborne Supply'!R40*(1-Assumptions!$D40/100)*(Assumptions!$C40/100/'Benchmark-equivalent supply'!R$3)</f>
        <v>6.6091612903225805</v>
      </c>
      <c r="S42" s="32">
        <f>'Seaborne Supply'!S40*(1-Assumptions!$D40/100)*(Assumptions!$C40/100/'Benchmark-equivalent supply'!S$3)</f>
        <v>7.0138688524590158</v>
      </c>
      <c r="T42" s="32">
        <f>'Seaborne Supply'!T40*(1-Assumptions!$D40/100)*(Assumptions!$C40/100/'Benchmark-equivalent supply'!T$3)</f>
        <v>7.5078032786885247</v>
      </c>
      <c r="U42" s="32">
        <f>'Seaborne Supply'!U40*(1-Assumptions!$D40/100)*(Assumptions!$C40/100/'Benchmark-equivalent supply'!U$3)</f>
        <v>8.1993114754098375</v>
      </c>
      <c r="V42" s="32">
        <f>'Seaborne Supply'!V40*(1-Assumptions!$D40/100)*(Assumptions!$C40/100/'Benchmark-equivalent supply'!V$3)</f>
        <v>8.7920327868852457</v>
      </c>
      <c r="W42" s="32">
        <f>'Seaborne Supply'!W40*(1-Assumptions!$D40/100)*(Assumptions!$C40/100/'Benchmark-equivalent supply'!W$3)</f>
        <v>9.2859672131147555</v>
      </c>
      <c r="X42" s="32">
        <f>'Seaborne Supply'!X40*(1-Assumptions!$D40/100)*(Assumptions!$C40/100/'Benchmark-equivalent supply'!X$3)</f>
        <v>9.2859672131147555</v>
      </c>
      <c r="Y42" s="32">
        <f>'Seaborne Supply'!Y40*(1-Assumptions!$D40/100)*(Assumptions!$C40/100/'Benchmark-equivalent supply'!Y$3)</f>
        <v>9.3847540983606557</v>
      </c>
      <c r="Z42" s="32">
        <f>'Seaborne Supply'!Z40*(1-Assumptions!$D40/100)*(Assumptions!$C40/100/'Benchmark-equivalent supply'!Z$3)</f>
        <v>9.3847540983606557</v>
      </c>
      <c r="AA42" s="32">
        <f>'Seaborne Supply'!AA40*(1-Assumptions!$D40/100)*(Assumptions!$C40/100/'Benchmark-equivalent supply'!AA$3)</f>
        <v>9.4835409836065576</v>
      </c>
      <c r="AB42" s="32">
        <f>'Seaborne Supply'!AB40*(1-Assumptions!$D40/100)*(Assumptions!$C40/100/'Benchmark-equivalent supply'!AB$3)</f>
        <v>9.4835409836065576</v>
      </c>
    </row>
    <row r="43" spans="1:28" x14ac:dyDescent="0.2">
      <c r="A43" s="7" t="s">
        <v>225</v>
      </c>
      <c r="C43" s="32">
        <f>'Seaborne Supply'!C41*(1-Assumptions!$D41/100)*(Assumptions!$C41/100/'Benchmark-equivalent supply'!C$3)</f>
        <v>1.9705806451612906</v>
      </c>
      <c r="D43" s="32">
        <f>'Seaborne Supply'!D41*(1-Assumptions!$D41/100)*(Assumptions!$C41/100/'Benchmark-equivalent supply'!D$3)</f>
        <v>1.5764645161290325</v>
      </c>
      <c r="E43" s="32">
        <f>'Seaborne Supply'!E41*(1-Assumptions!$D41/100)*(Assumptions!$C41/100/'Benchmark-equivalent supply'!E$3)</f>
        <v>1.674993548387097</v>
      </c>
      <c r="F43" s="32">
        <f>'Seaborne Supply'!F41*(1-Assumptions!$D41/100)*(Assumptions!$C41/100/'Benchmark-equivalent supply'!F$3)</f>
        <v>2.3646967741935487</v>
      </c>
      <c r="G43" s="32">
        <f>'Seaborne Supply'!G41*(1-Assumptions!$D41/100)*(Assumptions!$C41/100/'Benchmark-equivalent supply'!G$3)</f>
        <v>3.349987096774194</v>
      </c>
      <c r="H43" s="32">
        <f>'Seaborne Supply'!H41*(1-Assumptions!$D41/100)*(Assumptions!$C41/100/'Benchmark-equivalent supply'!H$3)</f>
        <v>5.0249806451612908</v>
      </c>
      <c r="I43" s="32">
        <f>'Seaborne Supply'!I41*(1-Assumptions!$D41/100)*(Assumptions!$C41/100/'Benchmark-equivalent supply'!I$3)</f>
        <v>6.30585806451613</v>
      </c>
      <c r="J43" s="32">
        <f>'Seaborne Supply'!J41*(1-Assumptions!$D41/100)*(Assumptions!$C41/100/'Benchmark-equivalent supply'!J$3)</f>
        <v>6.2073290322580652</v>
      </c>
      <c r="K43" s="32">
        <f>'Seaborne Supply'!K41*(1-Assumptions!$D41/100)*(Assumptions!$C41/100/'Benchmark-equivalent supply'!K$3)</f>
        <v>5.9117419354838718</v>
      </c>
      <c r="L43" s="32">
        <f>'Seaborne Supply'!L41*(1-Assumptions!$D41/100)*(Assumptions!$C41/100/'Benchmark-equivalent supply'!L$3)</f>
        <v>5.9117419354838718</v>
      </c>
      <c r="M43" s="32">
        <f>'Seaborne Supply'!M41*(1-Assumptions!$D41/100)*(Assumptions!$C41/100/'Benchmark-equivalent supply'!M$3)</f>
        <v>6.6014451612903233</v>
      </c>
      <c r="N43" s="32">
        <f>'Seaborne Supply'!N41*(1-Assumptions!$D41/100)*(Assumptions!$C41/100/'Benchmark-equivalent supply'!N$3)</f>
        <v>6.4043870967741947</v>
      </c>
      <c r="O43" s="32">
        <f>'Seaborne Supply'!O41*(1-Assumptions!$D41/100)*(Assumptions!$C41/100/'Benchmark-equivalent supply'!O$3)</f>
        <v>5.9117419354838718</v>
      </c>
      <c r="P43" s="32">
        <f>'Seaborne Supply'!P41*(1-Assumptions!$D41/100)*(Assumptions!$C41/100/'Benchmark-equivalent supply'!P$3)</f>
        <v>6.4043870967741947</v>
      </c>
      <c r="Q43" s="32">
        <f>'Seaborne Supply'!Q41*(1-Assumptions!$D41/100)*(Assumptions!$C41/100/'Benchmark-equivalent supply'!Q$3)</f>
        <v>6.1088000000000013</v>
      </c>
      <c r="R43" s="32">
        <f>'Seaborne Supply'!R41*(1-Assumptions!$D41/100)*(Assumptions!$C41/100/'Benchmark-equivalent supply'!R$3)</f>
        <v>6.0102709677419357</v>
      </c>
      <c r="S43" s="32">
        <f>'Seaborne Supply'!S41*(1-Assumptions!$D41/100)*(Assumptions!$C41/100/'Benchmark-equivalent supply'!S$3)</f>
        <v>6.1088000000000005</v>
      </c>
      <c r="T43" s="32">
        <f>'Seaborne Supply'!T41*(1-Assumptions!$D41/100)*(Assumptions!$C41/100/'Benchmark-equivalent supply'!T$3)</f>
        <v>6.3090885245901642</v>
      </c>
      <c r="U43" s="32">
        <f>'Seaborne Supply'!U41*(1-Assumptions!$D41/100)*(Assumptions!$C41/100/'Benchmark-equivalent supply'!U$3)</f>
        <v>6.6095213114754099</v>
      </c>
      <c r="V43" s="32">
        <f>'Seaborne Supply'!V41*(1-Assumptions!$D41/100)*(Assumptions!$C41/100/'Benchmark-equivalent supply'!V$3)</f>
        <v>6.9099540983606564</v>
      </c>
      <c r="W43" s="32">
        <f>'Seaborne Supply'!W41*(1-Assumptions!$D41/100)*(Assumptions!$C41/100/'Benchmark-equivalent supply'!W$3)</f>
        <v>7.1102426229508193</v>
      </c>
      <c r="X43" s="32">
        <f>'Seaborne Supply'!X41*(1-Assumptions!$D41/100)*(Assumptions!$C41/100/'Benchmark-equivalent supply'!X$3)</f>
        <v>7.2103868852459021</v>
      </c>
      <c r="Y43" s="32">
        <f>'Seaborne Supply'!Y41*(1-Assumptions!$D41/100)*(Assumptions!$C41/100/'Benchmark-equivalent supply'!Y$3)</f>
        <v>7.2103868852459021</v>
      </c>
      <c r="Z43" s="32">
        <f>'Seaborne Supply'!Z41*(1-Assumptions!$D41/100)*(Assumptions!$C41/100/'Benchmark-equivalent supply'!Z$3)</f>
        <v>7.2103868852459021</v>
      </c>
      <c r="AA43" s="32">
        <f>'Seaborne Supply'!AA41*(1-Assumptions!$D41/100)*(Assumptions!$C41/100/'Benchmark-equivalent supply'!AA$3)</f>
        <v>7.2103868852459021</v>
      </c>
      <c r="AB43" s="32">
        <f>'Seaborne Supply'!AB41*(1-Assumptions!$D41/100)*(Assumptions!$C41/100/'Benchmark-equivalent supply'!AB$3)</f>
        <v>7.2103868852459021</v>
      </c>
    </row>
    <row r="44" spans="1:28" x14ac:dyDescent="0.2">
      <c r="A44" s="7" t="s">
        <v>224</v>
      </c>
      <c r="C44" s="32">
        <f>'Seaborne Supply'!C42*(1-Assumptions!$D42/100)*(Assumptions!$C42/100/'Benchmark-equivalent supply'!C$3)</f>
        <v>1.6522903225806451</v>
      </c>
      <c r="D44" s="32">
        <f>'Seaborne Supply'!D42*(1-Assumptions!$D42/100)*(Assumptions!$C42/100/'Benchmark-equivalent supply'!D$3)</f>
        <v>2.6242258064516131</v>
      </c>
      <c r="E44" s="32">
        <f>'Seaborne Supply'!E42*(1-Assumptions!$D42/100)*(Assumptions!$C42/100/'Benchmark-equivalent supply'!E$3)</f>
        <v>3.1101935483870968</v>
      </c>
      <c r="F44" s="32">
        <f>'Seaborne Supply'!F42*(1-Assumptions!$D42/100)*(Assumptions!$C42/100/'Benchmark-equivalent supply'!F$3)</f>
        <v>2.0410645161290324</v>
      </c>
      <c r="G44" s="32">
        <f>'Seaborne Supply'!G42*(1-Assumptions!$D42/100)*(Assumptions!$C42/100/'Benchmark-equivalent supply'!G$3)</f>
        <v>1.4579032258064517</v>
      </c>
      <c r="H44" s="32">
        <f>'Seaborne Supply'!H42*(1-Assumptions!$D42/100)*(Assumptions!$C42/100/'Benchmark-equivalent supply'!H$3)</f>
        <v>0.87474193548387102</v>
      </c>
      <c r="I44" s="32">
        <f>'Seaborne Supply'!I42*(1-Assumptions!$D42/100)*(Assumptions!$C42/100/'Benchmark-equivalent supply'!I$3)</f>
        <v>1.5550967741935484</v>
      </c>
      <c r="J44" s="32">
        <f>'Seaborne Supply'!J42*(1-Assumptions!$D42/100)*(Assumptions!$C42/100/'Benchmark-equivalent supply'!J$3)</f>
        <v>1.5550967741935484</v>
      </c>
      <c r="K44" s="32">
        <f>'Seaborne Supply'!K42*(1-Assumptions!$D42/100)*(Assumptions!$C42/100/'Benchmark-equivalent supply'!K$3)</f>
        <v>1.6522903225806451</v>
      </c>
      <c r="L44" s="32">
        <f>'Seaborne Supply'!L42*(1-Assumptions!$D42/100)*(Assumptions!$C42/100/'Benchmark-equivalent supply'!L$3)</f>
        <v>2.0410645161290324</v>
      </c>
      <c r="M44" s="32">
        <f>'Seaborne Supply'!M42*(1-Assumptions!$D42/100)*(Assumptions!$C42/100/'Benchmark-equivalent supply'!M$3)</f>
        <v>2.6242258064516131</v>
      </c>
      <c r="N44" s="32">
        <f>'Seaborne Supply'!N42*(1-Assumptions!$D42/100)*(Assumptions!$C42/100/'Benchmark-equivalent supply'!N$3)</f>
        <v>2.4298387096774197</v>
      </c>
      <c r="O44" s="32">
        <f>'Seaborne Supply'!O42*(1-Assumptions!$D42/100)*(Assumptions!$C42/100/'Benchmark-equivalent supply'!O$3)</f>
        <v>2.1382580645161293</v>
      </c>
      <c r="P44" s="32">
        <f>'Seaborne Supply'!P42*(1-Assumptions!$D42/100)*(Assumptions!$C42/100/'Benchmark-equivalent supply'!P$3)</f>
        <v>2.1382580645161293</v>
      </c>
      <c r="Q44" s="32">
        <f>'Seaborne Supply'!Q42*(1-Assumptions!$D42/100)*(Assumptions!$C42/100/'Benchmark-equivalent supply'!Q$3)</f>
        <v>2.0410645161290324</v>
      </c>
      <c r="R44" s="32">
        <f>'Seaborne Supply'!R42*(1-Assumptions!$D42/100)*(Assumptions!$C42/100/'Benchmark-equivalent supply'!R$3)</f>
        <v>2.0410645161290324</v>
      </c>
      <c r="S44" s="32">
        <f>'Seaborne Supply'!S42*(1-Assumptions!$D42/100)*(Assumptions!$C42/100/'Benchmark-equivalent supply'!S$3)</f>
        <v>2.2720983606557379</v>
      </c>
      <c r="T44" s="32">
        <f>'Seaborne Supply'!T42*(1-Assumptions!$D42/100)*(Assumptions!$C42/100/'Benchmark-equivalent supply'!T$3)</f>
        <v>2.5684590163934429</v>
      </c>
      <c r="U44" s="32">
        <f>'Seaborne Supply'!U42*(1-Assumptions!$D42/100)*(Assumptions!$C42/100/'Benchmark-equivalent supply'!U$3)</f>
        <v>2.8648196721311474</v>
      </c>
      <c r="V44" s="32">
        <f>'Seaborne Supply'!V42*(1-Assumptions!$D42/100)*(Assumptions!$C42/100/'Benchmark-equivalent supply'!V$3)</f>
        <v>2.9636065573770494</v>
      </c>
      <c r="W44" s="32">
        <f>'Seaborne Supply'!W42*(1-Assumptions!$D42/100)*(Assumptions!$C42/100/'Benchmark-equivalent supply'!W$3)</f>
        <v>2.9636065573770494</v>
      </c>
      <c r="X44" s="32">
        <f>'Seaborne Supply'!X42*(1-Assumptions!$D42/100)*(Assumptions!$C42/100/'Benchmark-equivalent supply'!X$3)</f>
        <v>3.0623934426229509</v>
      </c>
      <c r="Y44" s="32">
        <f>'Seaborne Supply'!Y42*(1-Assumptions!$D42/100)*(Assumptions!$C42/100/'Benchmark-equivalent supply'!Y$3)</f>
        <v>3.0623934426229509</v>
      </c>
      <c r="Z44" s="32">
        <f>'Seaborne Supply'!Z42*(1-Assumptions!$D42/100)*(Assumptions!$C42/100/'Benchmark-equivalent supply'!Z$3)</f>
        <v>3.1611803278688528</v>
      </c>
      <c r="AA44" s="32">
        <f>'Seaborne Supply'!AA42*(1-Assumptions!$D42/100)*(Assumptions!$C42/100/'Benchmark-equivalent supply'!AA$3)</f>
        <v>3.1611803278688528</v>
      </c>
      <c r="AB44" s="32">
        <f>'Seaborne Supply'!AB42*(1-Assumptions!$D42/100)*(Assumptions!$C42/100/'Benchmark-equivalent supply'!AB$3)</f>
        <v>3.1611803278688528</v>
      </c>
    </row>
    <row r="45" spans="1:28" x14ac:dyDescent="0.2">
      <c r="A45" s="7" t="s">
        <v>127</v>
      </c>
      <c r="C45" s="32">
        <f>'Seaborne Supply'!C43*(1-Assumptions!$D43/100)*(Assumptions!$C43/100/'Benchmark-equivalent supply'!C$3)</f>
        <v>6.1896774193548394</v>
      </c>
      <c r="D45" s="32">
        <f>'Seaborne Supply'!D43*(1-Assumptions!$D43/100)*(Assumptions!$C43/100/'Benchmark-equivalent supply'!D$3)</f>
        <v>4.951741935483871</v>
      </c>
      <c r="E45" s="32">
        <f>'Seaborne Supply'!E43*(1-Assumptions!$D43/100)*(Assumptions!$C43/100/'Benchmark-equivalent supply'!E$3)</f>
        <v>4.951741935483871</v>
      </c>
      <c r="F45" s="32">
        <f>'Seaborne Supply'!F43*(1-Assumptions!$D43/100)*(Assumptions!$C43/100/'Benchmark-equivalent supply'!F$3)</f>
        <v>8.3798709677419367</v>
      </c>
      <c r="G45" s="32">
        <f>'Seaborne Supply'!G43*(1-Assumptions!$D43/100)*(Assumptions!$C43/100/'Benchmark-equivalent supply'!G$3)</f>
        <v>9.2369032258064507</v>
      </c>
      <c r="H45" s="32">
        <f>'Seaborne Supply'!H43*(1-Assumptions!$D43/100)*(Assumptions!$C43/100/'Benchmark-equivalent supply'!H$3)</f>
        <v>5.5230967741935482</v>
      </c>
      <c r="I45" s="32">
        <f>'Seaborne Supply'!I43*(1-Assumptions!$D43/100)*(Assumptions!$C43/100/'Benchmark-equivalent supply'!I$3)</f>
        <v>4.7612903225806447</v>
      </c>
      <c r="J45" s="32">
        <f>'Seaborne Supply'!J43*(1-Assumptions!$D43/100)*(Assumptions!$C43/100/'Benchmark-equivalent supply'!J$3)</f>
        <v>3.0472258064516131</v>
      </c>
      <c r="K45" s="32">
        <f>'Seaborne Supply'!K43*(1-Assumptions!$D43/100)*(Assumptions!$C43/100/'Benchmark-equivalent supply'!K$3)</f>
        <v>3.4281290322580644</v>
      </c>
      <c r="L45" s="32">
        <f>'Seaborne Supply'!L43*(1-Assumptions!$D43/100)*(Assumptions!$C43/100/'Benchmark-equivalent supply'!L$3)</f>
        <v>3.0472258064516131</v>
      </c>
      <c r="M45" s="32">
        <f>'Seaborne Supply'!M43*(1-Assumptions!$D43/100)*(Assumptions!$C43/100/'Benchmark-equivalent supply'!M$3)</f>
        <v>4.7612903225806447</v>
      </c>
      <c r="N45" s="32">
        <f>'Seaborne Supply'!N43*(1-Assumptions!$D43/100)*(Assumptions!$C43/100/'Benchmark-equivalent supply'!N$3)</f>
        <v>2.8567741935483868</v>
      </c>
      <c r="O45" s="32">
        <f>'Seaborne Supply'!O43*(1-Assumptions!$D43/100)*(Assumptions!$C43/100/'Benchmark-equivalent supply'!O$3)</f>
        <v>1.6188387096774193</v>
      </c>
      <c r="P45" s="32">
        <f>'Seaborne Supply'!P43*(1-Assumptions!$D43/100)*(Assumptions!$C43/100/'Benchmark-equivalent supply'!P$3)</f>
        <v>2.8567741935483868</v>
      </c>
      <c r="Q45" s="32">
        <f>'Seaborne Supply'!Q43*(1-Assumptions!$D43/100)*(Assumptions!$C43/100/'Benchmark-equivalent supply'!Q$3)</f>
        <v>3.9042580645161284</v>
      </c>
      <c r="R45" s="32">
        <f>'Seaborne Supply'!R43*(1-Assumptions!$D43/100)*(Assumptions!$C43/100/'Benchmark-equivalent supply'!R$3)</f>
        <v>2.4758709677419355</v>
      </c>
      <c r="S45" s="32">
        <f>'Seaborne Supply'!S43*(1-Assumptions!$D43/100)*(Assumptions!$C43/100/'Benchmark-equivalent supply'!S$3)</f>
        <v>2.6132459016393441</v>
      </c>
      <c r="T45" s="32">
        <f>'Seaborne Supply'!T43*(1-Assumptions!$D43/100)*(Assumptions!$C43/100/'Benchmark-equivalent supply'!T$3)</f>
        <v>0.29036065573770486</v>
      </c>
      <c r="U45" s="32">
        <f>'Seaborne Supply'!U43*(1-Assumptions!$D43/100)*(Assumptions!$C43/100/'Benchmark-equivalent supply'!U$3)</f>
        <v>0</v>
      </c>
      <c r="V45" s="32">
        <f>'Seaborne Supply'!V43*(1-Assumptions!$D43/100)*(Assumptions!$C43/100/'Benchmark-equivalent supply'!V$3)</f>
        <v>0</v>
      </c>
      <c r="W45" s="32">
        <f>'Seaborne Supply'!W43*(1-Assumptions!$D43/100)*(Assumptions!$C43/100/'Benchmark-equivalent supply'!W$3)</f>
        <v>0</v>
      </c>
      <c r="X45" s="32">
        <f>'Seaborne Supply'!X43*(1-Assumptions!$D43/100)*(Assumptions!$C43/100/'Benchmark-equivalent supply'!X$3)</f>
        <v>0</v>
      </c>
      <c r="Y45" s="32">
        <f>'Seaborne Supply'!Y43*(1-Assumptions!$D43/100)*(Assumptions!$C43/100/'Benchmark-equivalent supply'!Y$3)</f>
        <v>0</v>
      </c>
      <c r="Z45" s="32">
        <f>'Seaborne Supply'!Z43*(1-Assumptions!$D43/100)*(Assumptions!$C43/100/'Benchmark-equivalent supply'!Z$3)</f>
        <v>0</v>
      </c>
      <c r="AA45" s="32">
        <f>'Seaborne Supply'!AA43*(1-Assumptions!$D43/100)*(Assumptions!$C43/100/'Benchmark-equivalent supply'!AA$3)</f>
        <v>0</v>
      </c>
      <c r="AB45" s="32">
        <f>'Seaborne Supply'!AB43*(1-Assumptions!$D43/100)*(Assumptions!$C43/100/'Benchmark-equivalent supply'!AB$3)</f>
        <v>0</v>
      </c>
    </row>
    <row r="46" spans="1:28" x14ac:dyDescent="0.2">
      <c r="A46" s="7" t="s">
        <v>130</v>
      </c>
      <c r="C46" s="32">
        <f>'Seaborne Supply'!C44*(1-Assumptions!$D44/100)*(Assumptions!$C44/100/'Benchmark-equivalent supply'!C$3)</f>
        <v>1.6649677419354838</v>
      </c>
      <c r="D46" s="32">
        <f>'Seaborne Supply'!D44*(1-Assumptions!$D44/100)*(Assumptions!$C44/100/'Benchmark-equivalent supply'!D$3)</f>
        <v>1.0406048387096773</v>
      </c>
      <c r="E46" s="32">
        <f>'Seaborne Supply'!E44*(1-Assumptions!$D44/100)*(Assumptions!$C44/100/'Benchmark-equivalent supply'!E$3)</f>
        <v>2.4974516129032254</v>
      </c>
      <c r="F46" s="32">
        <f>'Seaborne Supply'!F44*(1-Assumptions!$D44/100)*(Assumptions!$C44/100/'Benchmark-equivalent supply'!F$3)</f>
        <v>1.9771491935483869</v>
      </c>
      <c r="G46" s="32">
        <f>'Seaborne Supply'!G44*(1-Assumptions!$D44/100)*(Assumptions!$C44/100/'Benchmark-equivalent supply'!G$3)</f>
        <v>2.6015120967741932</v>
      </c>
      <c r="H46" s="32">
        <f>'Seaborne Supply'!H44*(1-Assumptions!$D44/100)*(Assumptions!$C44/100/'Benchmark-equivalent supply'!H$3)</f>
        <v>2.4974516129032254</v>
      </c>
      <c r="I46" s="32">
        <f>'Seaborne Supply'!I44*(1-Assumptions!$D44/100)*(Assumptions!$C44/100/'Benchmark-equivalent supply'!I$3)</f>
        <v>2.6015120967741932</v>
      </c>
      <c r="J46" s="32">
        <f>'Seaborne Supply'!J44*(1-Assumptions!$D44/100)*(Assumptions!$C44/100/'Benchmark-equivalent supply'!J$3)</f>
        <v>1.8730887096774191</v>
      </c>
      <c r="K46" s="32">
        <f>'Seaborne Supply'!K44*(1-Assumptions!$D44/100)*(Assumptions!$C44/100/'Benchmark-equivalent supply'!K$3)</f>
        <v>2.4974516129032254</v>
      </c>
      <c r="L46" s="32">
        <f>'Seaborne Supply'!L44*(1-Assumptions!$D44/100)*(Assumptions!$C44/100/'Benchmark-equivalent supply'!L$3)</f>
        <v>2.2893306451612907</v>
      </c>
      <c r="M46" s="32">
        <f>'Seaborne Supply'!M44*(1-Assumptions!$D44/100)*(Assumptions!$C44/100/'Benchmark-equivalent supply'!M$3)</f>
        <v>2.6015120967741932</v>
      </c>
      <c r="N46" s="32">
        <f>'Seaborne Supply'!N44*(1-Assumptions!$D44/100)*(Assumptions!$C44/100/'Benchmark-equivalent supply'!N$3)</f>
        <v>2.7055725806451609</v>
      </c>
      <c r="O46" s="32">
        <f>'Seaborne Supply'!O44*(1-Assumptions!$D44/100)*(Assumptions!$C44/100/'Benchmark-equivalent supply'!O$3)</f>
        <v>2.7055725806451609</v>
      </c>
      <c r="P46" s="32">
        <f>'Seaborne Supply'!P44*(1-Assumptions!$D44/100)*(Assumptions!$C44/100/'Benchmark-equivalent supply'!P$3)</f>
        <v>2.7055725806451609</v>
      </c>
      <c r="Q46" s="32">
        <f>'Seaborne Supply'!Q44*(1-Assumptions!$D44/100)*(Assumptions!$C44/100/'Benchmark-equivalent supply'!Q$3)</f>
        <v>2.6015120967741932</v>
      </c>
      <c r="R46" s="32">
        <f>'Seaborne Supply'!R44*(1-Assumptions!$D44/100)*(Assumptions!$C44/100/'Benchmark-equivalent supply'!R$3)</f>
        <v>2.3933911290322576</v>
      </c>
      <c r="S46" s="32">
        <f>'Seaborne Supply'!S44*(1-Assumptions!$D44/100)*(Assumptions!$C44/100/'Benchmark-equivalent supply'!S$3)</f>
        <v>2.5383934426229504</v>
      </c>
      <c r="T46" s="32">
        <f>'Seaborne Supply'!T44*(1-Assumptions!$D44/100)*(Assumptions!$C44/100/'Benchmark-equivalent supply'!T$3)</f>
        <v>2.5383934426229504</v>
      </c>
      <c r="U46" s="32">
        <f>'Seaborne Supply'!U44*(1-Assumptions!$D44/100)*(Assumptions!$C44/100/'Benchmark-equivalent supply'!U$3)</f>
        <v>2.5383934426229504</v>
      </c>
      <c r="V46" s="32">
        <f>'Seaborne Supply'!V44*(1-Assumptions!$D44/100)*(Assumptions!$C44/100/'Benchmark-equivalent supply'!V$3)</f>
        <v>2.6441598360655738</v>
      </c>
      <c r="W46" s="32">
        <f>'Seaborne Supply'!W44*(1-Assumptions!$D44/100)*(Assumptions!$C44/100/'Benchmark-equivalent supply'!W$3)</f>
        <v>2.8556926229508197</v>
      </c>
      <c r="X46" s="32">
        <f>'Seaborne Supply'!X44*(1-Assumptions!$D44/100)*(Assumptions!$C44/100/'Benchmark-equivalent supply'!X$3)</f>
        <v>3.0672254098360656</v>
      </c>
      <c r="Y46" s="32">
        <f>'Seaborne Supply'!Y44*(1-Assumptions!$D44/100)*(Assumptions!$C44/100/'Benchmark-equivalent supply'!Y$3)</f>
        <v>3.0672254098360656</v>
      </c>
      <c r="Z46" s="32">
        <f>'Seaborne Supply'!Z44*(1-Assumptions!$D44/100)*(Assumptions!$C44/100/'Benchmark-equivalent supply'!Z$3)</f>
        <v>3.0672254098360656</v>
      </c>
      <c r="AA46" s="32">
        <f>'Seaborne Supply'!AA44*(1-Assumptions!$D44/100)*(Assumptions!$C44/100/'Benchmark-equivalent supply'!AA$3)</f>
        <v>3.0672254098360656</v>
      </c>
      <c r="AB46" s="32">
        <f>'Seaborne Supply'!AB44*(1-Assumptions!$D44/100)*(Assumptions!$C44/100/'Benchmark-equivalent supply'!AB$3)</f>
        <v>3.0672254098360656</v>
      </c>
    </row>
    <row r="47" spans="1:28" x14ac:dyDescent="0.2">
      <c r="A47" s="7" t="s">
        <v>249</v>
      </c>
      <c r="C47" s="32">
        <f>'Seaborne Supply'!C45*(1-Assumptions!$D45/100)*(Assumptions!$C45/100/'Benchmark-equivalent supply'!C$3)</f>
        <v>0.47225806451612901</v>
      </c>
      <c r="D47" s="32">
        <f>'Seaborne Supply'!D45*(1-Assumptions!$D45/100)*(Assumptions!$C45/100/'Benchmark-equivalent supply'!D$3)</f>
        <v>0.75561290322580643</v>
      </c>
      <c r="E47" s="32">
        <f>'Seaborne Supply'!E45*(1-Assumptions!$D45/100)*(Assumptions!$C45/100/'Benchmark-equivalent supply'!E$3)</f>
        <v>1.2278709677419355</v>
      </c>
      <c r="F47" s="32">
        <f>'Seaborne Supply'!F45*(1-Assumptions!$D45/100)*(Assumptions!$C45/100/'Benchmark-equivalent supply'!F$3)</f>
        <v>1.889032258064516</v>
      </c>
      <c r="G47" s="32">
        <f>'Seaborne Supply'!G45*(1-Assumptions!$D45/100)*(Assumptions!$C45/100/'Benchmark-equivalent supply'!G$3)</f>
        <v>0.66116129032258064</v>
      </c>
      <c r="H47" s="32">
        <f>'Seaborne Supply'!H45*(1-Assumptions!$D45/100)*(Assumptions!$C45/100/'Benchmark-equivalent supply'!H$3)</f>
        <v>0</v>
      </c>
      <c r="I47" s="32">
        <f>'Seaborne Supply'!I45*(1-Assumptions!$D45/100)*(Assumptions!$C45/100/'Benchmark-equivalent supply'!I$3)</f>
        <v>0.47225806451612901</v>
      </c>
      <c r="J47" s="32">
        <f>'Seaborne Supply'!J45*(1-Assumptions!$D45/100)*(Assumptions!$C45/100/'Benchmark-equivalent supply'!J$3)</f>
        <v>0.85006451612903222</v>
      </c>
      <c r="K47" s="32">
        <f>'Seaborne Supply'!K45*(1-Assumptions!$D45/100)*(Assumptions!$C45/100/'Benchmark-equivalent supply'!K$3)</f>
        <v>3.1169032258064515</v>
      </c>
      <c r="L47" s="32">
        <f>'Seaborne Supply'!L45*(1-Assumptions!$D45/100)*(Assumptions!$C45/100/'Benchmark-equivalent supply'!L$3)</f>
        <v>4.3447741935483863</v>
      </c>
      <c r="M47" s="32">
        <f>'Seaborne Supply'!M45*(1-Assumptions!$D45/100)*(Assumptions!$C45/100/'Benchmark-equivalent supply'!M$3)</f>
        <v>5.5726451612903221</v>
      </c>
      <c r="N47" s="32">
        <f>'Seaborne Supply'!N45*(1-Assumptions!$D45/100)*(Assumptions!$C45/100/'Benchmark-equivalent supply'!N$3)</f>
        <v>6.4227096774193546</v>
      </c>
      <c r="O47" s="32">
        <f>'Seaborne Supply'!O45*(1-Assumptions!$D45/100)*(Assumptions!$C45/100/'Benchmark-equivalent supply'!O$3)</f>
        <v>5.4781935483870967</v>
      </c>
      <c r="P47" s="32">
        <f>'Seaborne Supply'!P45*(1-Assumptions!$D45/100)*(Assumptions!$C45/100/'Benchmark-equivalent supply'!P$3)</f>
        <v>6.233806451612903</v>
      </c>
      <c r="Q47" s="32">
        <f>'Seaborne Supply'!Q45*(1-Assumptions!$D45/100)*(Assumptions!$C45/100/'Benchmark-equivalent supply'!Q$3)</f>
        <v>5.4781935483870967</v>
      </c>
      <c r="R47" s="32">
        <f>'Seaborne Supply'!R45*(1-Assumptions!$D45/100)*(Assumptions!$C45/100/'Benchmark-equivalent supply'!R$3)</f>
        <v>6.6116129032258062</v>
      </c>
      <c r="S47" s="32">
        <f>'Seaborne Supply'!S45*(1-Assumptions!$D45/100)*(Assumptions!$C45/100/'Benchmark-equivalent supply'!S$3)</f>
        <v>6.72</v>
      </c>
      <c r="T47" s="32">
        <f>'Seaborne Supply'!T45*(1-Assumptions!$D45/100)*(Assumptions!$C45/100/'Benchmark-equivalent supply'!T$3)</f>
        <v>6.72</v>
      </c>
      <c r="U47" s="32">
        <f>'Seaborne Supply'!U45*(1-Assumptions!$D45/100)*(Assumptions!$C45/100/'Benchmark-equivalent supply'!U$3)</f>
        <v>6.8159999999999998</v>
      </c>
      <c r="V47" s="32">
        <f>'Seaborne Supply'!V45*(1-Assumptions!$D45/100)*(Assumptions!$C45/100/'Benchmark-equivalent supply'!V$3)</f>
        <v>6.8159999999999998</v>
      </c>
      <c r="W47" s="32">
        <f>'Seaborne Supply'!W45*(1-Assumptions!$D45/100)*(Assumptions!$C45/100/'Benchmark-equivalent supply'!W$3)</f>
        <v>6.9119999999999999</v>
      </c>
      <c r="X47" s="32">
        <f>'Seaborne Supply'!X45*(1-Assumptions!$D45/100)*(Assumptions!$C45/100/'Benchmark-equivalent supply'!X$3)</f>
        <v>6.9119999999999999</v>
      </c>
      <c r="Y47" s="32">
        <f>'Seaborne Supply'!Y45*(1-Assumptions!$D45/100)*(Assumptions!$C45/100/'Benchmark-equivalent supply'!Y$3)</f>
        <v>6.9119999999999999</v>
      </c>
      <c r="Z47" s="32">
        <f>'Seaborne Supply'!Z45*(1-Assumptions!$D45/100)*(Assumptions!$C45/100/'Benchmark-equivalent supply'!Z$3)</f>
        <v>6.9119999999999999</v>
      </c>
      <c r="AA47" s="32">
        <f>'Seaborne Supply'!AA45*(1-Assumptions!$D45/100)*(Assumptions!$C45/100/'Benchmark-equivalent supply'!AA$3)</f>
        <v>6.9119999999999999</v>
      </c>
      <c r="AB47" s="32">
        <f>'Seaborne Supply'!AB45*(1-Assumptions!$D45/100)*(Assumptions!$C45/100/'Benchmark-equivalent supply'!AB$3)</f>
        <v>6.9119999999999999</v>
      </c>
    </row>
    <row r="48" spans="1:28" x14ac:dyDescent="0.2">
      <c r="A48" s="7" t="s">
        <v>250</v>
      </c>
      <c r="C48" s="32">
        <f>'Seaborne Supply'!C46*(1-Assumptions!$D46/100)*(Assumptions!$C46/100/'Benchmark-equivalent supply'!C$3)</f>
        <v>1.9080645161290322</v>
      </c>
      <c r="D48" s="32">
        <f>'Seaborne Supply'!D46*(1-Assumptions!$D46/100)*(Assumptions!$C46/100/'Benchmark-equivalent supply'!D$3)</f>
        <v>1.7172580645161291</v>
      </c>
      <c r="E48" s="32">
        <f>'Seaborne Supply'!E46*(1-Assumptions!$D46/100)*(Assumptions!$C46/100/'Benchmark-equivalent supply'!E$3)</f>
        <v>1.6218548387096772</v>
      </c>
      <c r="F48" s="32">
        <f>'Seaborne Supply'!F46*(1-Assumptions!$D46/100)*(Assumptions!$C46/100/'Benchmark-equivalent supply'!F$3)</f>
        <v>3.2437096774193543</v>
      </c>
      <c r="G48" s="32">
        <f>'Seaborne Supply'!G46*(1-Assumptions!$D46/100)*(Assumptions!$C46/100/'Benchmark-equivalent supply'!G$3)</f>
        <v>1.4310483870967741</v>
      </c>
      <c r="H48" s="32">
        <f>'Seaborne Supply'!H46*(1-Assumptions!$D46/100)*(Assumptions!$C46/100/'Benchmark-equivalent supply'!H$3)</f>
        <v>0</v>
      </c>
      <c r="I48" s="32">
        <f>'Seaborne Supply'!I46*(1-Assumptions!$D46/100)*(Assumptions!$C46/100/'Benchmark-equivalent supply'!I$3)</f>
        <v>0.28620967741935482</v>
      </c>
      <c r="J48" s="32">
        <f>'Seaborne Supply'!J46*(1-Assumptions!$D46/100)*(Assumptions!$C46/100/'Benchmark-equivalent supply'!J$3)</f>
        <v>0.76322580645161298</v>
      </c>
      <c r="K48" s="32">
        <f>'Seaborne Supply'!K46*(1-Assumptions!$D46/100)*(Assumptions!$C46/100/'Benchmark-equivalent supply'!K$3)</f>
        <v>0.95403225806451608</v>
      </c>
      <c r="L48" s="32">
        <f>'Seaborne Supply'!L46*(1-Assumptions!$D46/100)*(Assumptions!$C46/100/'Benchmark-equivalent supply'!L$3)</f>
        <v>1.1448387096774193</v>
      </c>
      <c r="M48" s="32">
        <f>'Seaborne Supply'!M46*(1-Assumptions!$D46/100)*(Assumptions!$C46/100/'Benchmark-equivalent supply'!M$3)</f>
        <v>1.4310483870967741</v>
      </c>
      <c r="N48" s="32">
        <f>'Seaborne Supply'!N46*(1-Assumptions!$D46/100)*(Assumptions!$C46/100/'Benchmark-equivalent supply'!N$3)</f>
        <v>2.5758870967741938</v>
      </c>
      <c r="O48" s="32">
        <f>'Seaborne Supply'!O46*(1-Assumptions!$D46/100)*(Assumptions!$C46/100/'Benchmark-equivalent supply'!O$3)</f>
        <v>3.2437096774193543</v>
      </c>
      <c r="P48" s="32">
        <f>'Seaborne Supply'!P46*(1-Assumptions!$D46/100)*(Assumptions!$C46/100/'Benchmark-equivalent supply'!P$3)</f>
        <v>3.8161290322580643</v>
      </c>
      <c r="Q48" s="32">
        <f>'Seaborne Supply'!Q46*(1-Assumptions!$D46/100)*(Assumptions!$C46/100/'Benchmark-equivalent supply'!Q$3)</f>
        <v>3.4345161290322581</v>
      </c>
      <c r="R48" s="32">
        <f>'Seaborne Supply'!R46*(1-Assumptions!$D46/100)*(Assumptions!$C46/100/'Benchmark-equivalent supply'!R$3)</f>
        <v>3.3391129032258062</v>
      </c>
      <c r="S48" s="32">
        <f>'Seaborne Supply'!S46*(1-Assumptions!$D46/100)*(Assumptions!$C46/100/'Benchmark-equivalent supply'!S$3)</f>
        <v>4.6544262295081973</v>
      </c>
      <c r="T48" s="32">
        <f>'Seaborne Supply'!T46*(1-Assumptions!$D46/100)*(Assumptions!$C46/100/'Benchmark-equivalent supply'!T$3)</f>
        <v>4.8483606557377055</v>
      </c>
      <c r="U48" s="32">
        <f>'Seaborne Supply'!U46*(1-Assumptions!$D46/100)*(Assumptions!$C46/100/'Benchmark-equivalent supply'!U$3)</f>
        <v>4.8483606557377055</v>
      </c>
      <c r="V48" s="32">
        <f>'Seaborne Supply'!V46*(1-Assumptions!$D46/100)*(Assumptions!$C46/100/'Benchmark-equivalent supply'!V$3)</f>
        <v>4.8483606557377055</v>
      </c>
      <c r="W48" s="32">
        <f>'Seaborne Supply'!W46*(1-Assumptions!$D46/100)*(Assumptions!$C46/100/'Benchmark-equivalent supply'!W$3)</f>
        <v>4.8483606557377055</v>
      </c>
      <c r="X48" s="32">
        <f>'Seaborne Supply'!X46*(1-Assumptions!$D46/100)*(Assumptions!$C46/100/'Benchmark-equivalent supply'!X$3)</f>
        <v>4.8483606557377055</v>
      </c>
      <c r="Y48" s="32">
        <f>'Seaborne Supply'!Y46*(1-Assumptions!$D46/100)*(Assumptions!$C46/100/'Benchmark-equivalent supply'!Y$3)</f>
        <v>4.8483606557377055</v>
      </c>
      <c r="Z48" s="32">
        <f>'Seaborne Supply'!Z46*(1-Assumptions!$D46/100)*(Assumptions!$C46/100/'Benchmark-equivalent supply'!Z$3)</f>
        <v>4.8483606557377055</v>
      </c>
      <c r="AA48" s="32">
        <f>'Seaborne Supply'!AA46*(1-Assumptions!$D46/100)*(Assumptions!$C46/100/'Benchmark-equivalent supply'!AA$3)</f>
        <v>4.8483606557377055</v>
      </c>
      <c r="AB48" s="32">
        <f>'Seaborne Supply'!AB46*(1-Assumptions!$D46/100)*(Assumptions!$C46/100/'Benchmark-equivalent supply'!AB$3)</f>
        <v>4.8483606557377055</v>
      </c>
    </row>
    <row r="49" spans="1:28" x14ac:dyDescent="0.2">
      <c r="A49" s="7" t="s">
        <v>251</v>
      </c>
      <c r="C49" s="32">
        <f>'Seaborne Supply'!C47*(1-Assumptions!$D47/100)*(Assumptions!$C47/100/'Benchmark-equivalent supply'!C$3)</f>
        <v>1.6693548387096775</v>
      </c>
      <c r="D49" s="32">
        <f>'Seaborne Supply'!D47*(1-Assumptions!$D47/100)*(Assumptions!$C47/100/'Benchmark-equivalent supply'!D$3)</f>
        <v>1.8548387096774195</v>
      </c>
      <c r="E49" s="32">
        <f>'Seaborne Supply'!E47*(1-Assumptions!$D47/100)*(Assumptions!$C47/100/'Benchmark-equivalent supply'!E$3)</f>
        <v>2.0403225806451619</v>
      </c>
      <c r="F49" s="32">
        <f>'Seaborne Supply'!F47*(1-Assumptions!$D47/100)*(Assumptions!$C47/100/'Benchmark-equivalent supply'!F$3)</f>
        <v>2.1330645161290325</v>
      </c>
      <c r="G49" s="32">
        <f>'Seaborne Supply'!G47*(1-Assumptions!$D47/100)*(Assumptions!$C47/100/'Benchmark-equivalent supply'!G$3)</f>
        <v>1.8548387096774195</v>
      </c>
      <c r="H49" s="32">
        <f>'Seaborne Supply'!H47*(1-Assumptions!$D47/100)*(Assumptions!$C47/100/'Benchmark-equivalent supply'!H$3)</f>
        <v>1.3911290322580647</v>
      </c>
      <c r="I49" s="32">
        <f>'Seaborne Supply'!I47*(1-Assumptions!$D47/100)*(Assumptions!$C47/100/'Benchmark-equivalent supply'!I$3)</f>
        <v>1.5766129032258065</v>
      </c>
      <c r="J49" s="32">
        <f>'Seaborne Supply'!J47*(1-Assumptions!$D47/100)*(Assumptions!$C47/100/'Benchmark-equivalent supply'!J$3)</f>
        <v>1.6693548387096775</v>
      </c>
      <c r="K49" s="32">
        <f>'Seaborne Supply'!K47*(1-Assumptions!$D47/100)*(Assumptions!$C47/100/'Benchmark-equivalent supply'!K$3)</f>
        <v>1.8548387096774195</v>
      </c>
      <c r="L49" s="32">
        <f>'Seaborne Supply'!L47*(1-Assumptions!$D47/100)*(Assumptions!$C47/100/'Benchmark-equivalent supply'!L$3)</f>
        <v>2.3185483870967745</v>
      </c>
      <c r="M49" s="32">
        <f>'Seaborne Supply'!M47*(1-Assumptions!$D47/100)*(Assumptions!$C47/100/'Benchmark-equivalent supply'!M$3)</f>
        <v>3.245967741935484</v>
      </c>
      <c r="N49" s="32">
        <f>'Seaborne Supply'!N47*(1-Assumptions!$D47/100)*(Assumptions!$C47/100/'Benchmark-equivalent supply'!N$3)</f>
        <v>4.2661290322580649</v>
      </c>
      <c r="O49" s="32">
        <f>'Seaborne Supply'!O47*(1-Assumptions!$D47/100)*(Assumptions!$C47/100/'Benchmark-equivalent supply'!O$3)</f>
        <v>4.4516129032258069</v>
      </c>
      <c r="P49" s="32">
        <f>'Seaborne Supply'!P47*(1-Assumptions!$D47/100)*(Assumptions!$C47/100/'Benchmark-equivalent supply'!P$3)</f>
        <v>4.8225806451612909</v>
      </c>
      <c r="Q49" s="32">
        <f>'Seaborne Supply'!Q47*(1-Assumptions!$D47/100)*(Assumptions!$C47/100/'Benchmark-equivalent supply'!Q$3)</f>
        <v>5.2862903225806459</v>
      </c>
      <c r="R49" s="32">
        <f>'Seaborne Supply'!R47*(1-Assumptions!$D47/100)*(Assumptions!$C47/100/'Benchmark-equivalent supply'!R$3)</f>
        <v>5.7500000000000009</v>
      </c>
      <c r="S49" s="32">
        <f>'Seaborne Supply'!S47*(1-Assumptions!$D47/100)*(Assumptions!$C47/100/'Benchmark-equivalent supply'!S$3)</f>
        <v>6.5983606557377046</v>
      </c>
      <c r="T49" s="32">
        <f>'Seaborne Supply'!T47*(1-Assumptions!$D47/100)*(Assumptions!$C47/100/'Benchmark-equivalent supply'!T$3)</f>
        <v>7.5409836065573765</v>
      </c>
      <c r="U49" s="32">
        <f>'Seaborne Supply'!U47*(1-Assumptions!$D47/100)*(Assumptions!$C47/100/'Benchmark-equivalent supply'!U$3)</f>
        <v>8.0122950819672134</v>
      </c>
      <c r="V49" s="32">
        <f>'Seaborne Supply'!V47*(1-Assumptions!$D47/100)*(Assumptions!$C47/100/'Benchmark-equivalent supply'!V$3)</f>
        <v>8.4836065573770494</v>
      </c>
      <c r="W49" s="32">
        <f>'Seaborne Supply'!W47*(1-Assumptions!$D47/100)*(Assumptions!$C47/100/'Benchmark-equivalent supply'!W$3)</f>
        <v>8.9549180327868854</v>
      </c>
      <c r="X49" s="32">
        <f>'Seaborne Supply'!X47*(1-Assumptions!$D47/100)*(Assumptions!$C47/100/'Benchmark-equivalent supply'!X$3)</f>
        <v>9.4262295081967213</v>
      </c>
      <c r="Y49" s="32">
        <f>'Seaborne Supply'!Y47*(1-Assumptions!$D47/100)*(Assumptions!$C47/100/'Benchmark-equivalent supply'!Y$3)</f>
        <v>9.8975409836065573</v>
      </c>
      <c r="Z49" s="32">
        <f>'Seaborne Supply'!Z47*(1-Assumptions!$D47/100)*(Assumptions!$C47/100/'Benchmark-equivalent supply'!Z$3)</f>
        <v>9.8975409836065573</v>
      </c>
      <c r="AA49" s="32">
        <f>'Seaborne Supply'!AA47*(1-Assumptions!$D47/100)*(Assumptions!$C47/100/'Benchmark-equivalent supply'!AA$3)</f>
        <v>9.8975409836065573</v>
      </c>
      <c r="AB49" s="32">
        <f>'Seaborne Supply'!AB47*(1-Assumptions!$D47/100)*(Assumptions!$C47/100/'Benchmark-equivalent supply'!AB$3)</f>
        <v>9.8975409836065573</v>
      </c>
    </row>
    <row r="50" spans="1:28" x14ac:dyDescent="0.2">
      <c r="A50" s="7" t="s">
        <v>252</v>
      </c>
      <c r="C50" s="32">
        <f>'Seaborne Supply'!C48*(1-Assumptions!$D48/100)*(Assumptions!$C48/100/'Benchmark-equivalent supply'!C$3)</f>
        <v>0.47701612903225804</v>
      </c>
      <c r="D50" s="32">
        <f>'Seaborne Supply'!D48*(1-Assumptions!$D48/100)*(Assumptions!$C48/100/'Benchmark-equivalent supply'!D$3)</f>
        <v>0.47701612903225804</v>
      </c>
      <c r="E50" s="32">
        <f>'Seaborne Supply'!E48*(1-Assumptions!$D48/100)*(Assumptions!$C48/100/'Benchmark-equivalent supply'!E$3)</f>
        <v>0.57241935483870965</v>
      </c>
      <c r="F50" s="32">
        <f>'Seaborne Supply'!F48*(1-Assumptions!$D48/100)*(Assumptions!$C48/100/'Benchmark-equivalent supply'!F$3)</f>
        <v>0.57241935483870965</v>
      </c>
      <c r="G50" s="32">
        <f>'Seaborne Supply'!G48*(1-Assumptions!$D48/100)*(Assumptions!$C48/100/'Benchmark-equivalent supply'!G$3)</f>
        <v>0.47701612903225804</v>
      </c>
      <c r="H50" s="32">
        <f>'Seaborne Supply'!H48*(1-Assumptions!$D48/100)*(Assumptions!$C48/100/'Benchmark-equivalent supply'!H$3)</f>
        <v>0.38161290322580649</v>
      </c>
      <c r="I50" s="32">
        <f>'Seaborne Supply'!I48*(1-Assumptions!$D48/100)*(Assumptions!$C48/100/'Benchmark-equivalent supply'!I$3)</f>
        <v>0.47701612903225804</v>
      </c>
      <c r="J50" s="32">
        <f>'Seaborne Supply'!J48*(1-Assumptions!$D48/100)*(Assumptions!$C48/100/'Benchmark-equivalent supply'!J$3)</f>
        <v>0.57241935483870965</v>
      </c>
      <c r="K50" s="32">
        <f>'Seaborne Supply'!K48*(1-Assumptions!$D48/100)*(Assumptions!$C48/100/'Benchmark-equivalent supply'!K$3)</f>
        <v>0.76322580645161298</v>
      </c>
      <c r="L50" s="32">
        <f>'Seaborne Supply'!L48*(1-Assumptions!$D48/100)*(Assumptions!$C48/100/'Benchmark-equivalent supply'!L$3)</f>
        <v>0.95403225806451608</v>
      </c>
      <c r="M50" s="32">
        <f>'Seaborne Supply'!M48*(1-Assumptions!$D48/100)*(Assumptions!$C48/100/'Benchmark-equivalent supply'!M$3)</f>
        <v>1.0494354838709679</v>
      </c>
      <c r="N50" s="32">
        <f>'Seaborne Supply'!N48*(1-Assumptions!$D48/100)*(Assumptions!$C48/100/'Benchmark-equivalent supply'!N$3)</f>
        <v>1.1448387096774193</v>
      </c>
      <c r="O50" s="32">
        <f>'Seaborne Supply'!O48*(1-Assumptions!$D48/100)*(Assumptions!$C48/100/'Benchmark-equivalent supply'!O$3)</f>
        <v>1.1448387096774193</v>
      </c>
      <c r="P50" s="32">
        <f>'Seaborne Supply'!P48*(1-Assumptions!$D48/100)*(Assumptions!$C48/100/'Benchmark-equivalent supply'!P$3)</f>
        <v>1.1448387096774193</v>
      </c>
      <c r="Q50" s="32">
        <f>'Seaborne Supply'!Q48*(1-Assumptions!$D48/100)*(Assumptions!$C48/100/'Benchmark-equivalent supply'!Q$3)</f>
        <v>1.1448387096774193</v>
      </c>
      <c r="R50" s="32">
        <f>'Seaborne Supply'!R48*(1-Assumptions!$D48/100)*(Assumptions!$C48/100/'Benchmark-equivalent supply'!R$3)</f>
        <v>1.9080645161290322</v>
      </c>
      <c r="S50" s="32">
        <f>'Seaborne Supply'!S48*(1-Assumptions!$D48/100)*(Assumptions!$C48/100/'Benchmark-equivalent supply'!S$3)</f>
        <v>2.9090163934426232</v>
      </c>
      <c r="T50" s="32">
        <f>'Seaborne Supply'!T48*(1-Assumptions!$D48/100)*(Assumptions!$C48/100/'Benchmark-equivalent supply'!T$3)</f>
        <v>3.8786885245901641</v>
      </c>
      <c r="U50" s="32">
        <f>'Seaborne Supply'!U48*(1-Assumptions!$D48/100)*(Assumptions!$C48/100/'Benchmark-equivalent supply'!U$3)</f>
        <v>3.8786885245901641</v>
      </c>
      <c r="V50" s="32">
        <f>'Seaborne Supply'!V48*(1-Assumptions!$D48/100)*(Assumptions!$C48/100/'Benchmark-equivalent supply'!V$3)</f>
        <v>3.8786885245901641</v>
      </c>
      <c r="W50" s="32">
        <f>'Seaborne Supply'!W48*(1-Assumptions!$D48/100)*(Assumptions!$C48/100/'Benchmark-equivalent supply'!W$3)</f>
        <v>3.8786885245901641</v>
      </c>
      <c r="X50" s="32">
        <f>'Seaborne Supply'!X48*(1-Assumptions!$D48/100)*(Assumptions!$C48/100/'Benchmark-equivalent supply'!X$3)</f>
        <v>3.8786885245901641</v>
      </c>
      <c r="Y50" s="32">
        <f>'Seaborne Supply'!Y48*(1-Assumptions!$D48/100)*(Assumptions!$C48/100/'Benchmark-equivalent supply'!Y$3)</f>
        <v>3.8786885245901641</v>
      </c>
      <c r="Z50" s="32">
        <f>'Seaborne Supply'!Z48*(1-Assumptions!$D48/100)*(Assumptions!$C48/100/'Benchmark-equivalent supply'!Z$3)</f>
        <v>3.8786885245901641</v>
      </c>
      <c r="AA50" s="32">
        <f>'Seaborne Supply'!AA48*(1-Assumptions!$D48/100)*(Assumptions!$C48/100/'Benchmark-equivalent supply'!AA$3)</f>
        <v>3.8786885245901641</v>
      </c>
      <c r="AB50" s="32">
        <f>'Seaborne Supply'!AB48*(1-Assumptions!$D48/100)*(Assumptions!$C48/100/'Benchmark-equivalent supply'!AB$3)</f>
        <v>3.8786885245901641</v>
      </c>
    </row>
    <row r="51" spans="1:28" x14ac:dyDescent="0.2">
      <c r="A51" s="7" t="s">
        <v>253</v>
      </c>
      <c r="C51" s="32">
        <f>'Seaborne Supply'!C49*(1-Assumptions!$D49/100)*(Assumptions!$C49/100/'Benchmark-equivalent supply'!C$3)</f>
        <v>0</v>
      </c>
      <c r="D51" s="32">
        <f>'Seaborne Supply'!D49*(1-Assumptions!$D49/100)*(Assumptions!$C49/100/'Benchmark-equivalent supply'!D$3)</f>
        <v>0</v>
      </c>
      <c r="E51" s="32">
        <f>'Seaborne Supply'!E49*(1-Assumptions!$D49/100)*(Assumptions!$C49/100/'Benchmark-equivalent supply'!E$3)</f>
        <v>0</v>
      </c>
      <c r="F51" s="32">
        <f>'Seaborne Supply'!F49*(1-Assumptions!$D49/100)*(Assumptions!$C49/100/'Benchmark-equivalent supply'!F$3)</f>
        <v>0</v>
      </c>
      <c r="G51" s="32">
        <f>'Seaborne Supply'!G49*(1-Assumptions!$D49/100)*(Assumptions!$C49/100/'Benchmark-equivalent supply'!G$3)</f>
        <v>0</v>
      </c>
      <c r="H51" s="32">
        <f>'Seaborne Supply'!H49*(1-Assumptions!$D49/100)*(Assumptions!$C49/100/'Benchmark-equivalent supply'!H$3)</f>
        <v>0.19227419354838712</v>
      </c>
      <c r="I51" s="32">
        <f>'Seaborne Supply'!I49*(1-Assumptions!$D49/100)*(Assumptions!$C49/100/'Benchmark-equivalent supply'!I$3)</f>
        <v>0.28841129032258067</v>
      </c>
      <c r="J51" s="32">
        <f>'Seaborne Supply'!J49*(1-Assumptions!$D49/100)*(Assumptions!$C49/100/'Benchmark-equivalent supply'!J$3)</f>
        <v>0.48068548387096771</v>
      </c>
      <c r="K51" s="32">
        <f>'Seaborne Supply'!K49*(1-Assumptions!$D49/100)*(Assumptions!$C49/100/'Benchmark-equivalent supply'!K$3)</f>
        <v>0.76909677419354849</v>
      </c>
      <c r="L51" s="32">
        <f>'Seaborne Supply'!L49*(1-Assumptions!$D49/100)*(Assumptions!$C49/100/'Benchmark-equivalent supply'!L$3)</f>
        <v>0.86523387096774196</v>
      </c>
      <c r="M51" s="32">
        <f>'Seaborne Supply'!M49*(1-Assumptions!$D49/100)*(Assumptions!$C49/100/'Benchmark-equivalent supply'!M$3)</f>
        <v>0.96137096774193542</v>
      </c>
      <c r="N51" s="32">
        <f>'Seaborne Supply'!N49*(1-Assumptions!$D49/100)*(Assumptions!$C49/100/'Benchmark-equivalent supply'!N$3)</f>
        <v>1.1536451612903227</v>
      </c>
      <c r="O51" s="32">
        <f>'Seaborne Supply'!O49*(1-Assumptions!$D49/100)*(Assumptions!$C49/100/'Benchmark-equivalent supply'!O$3)</f>
        <v>1.2497822580645161</v>
      </c>
      <c r="P51" s="32">
        <f>'Seaborne Supply'!P49*(1-Assumptions!$D49/100)*(Assumptions!$C49/100/'Benchmark-equivalent supply'!P$3)</f>
        <v>1.2497822580645161</v>
      </c>
      <c r="Q51" s="32">
        <f>'Seaborne Supply'!Q49*(1-Assumptions!$D49/100)*(Assumptions!$C49/100/'Benchmark-equivalent supply'!Q$3)</f>
        <v>1.4420564516129031</v>
      </c>
      <c r="R51" s="32">
        <f>'Seaborne Supply'!R49*(1-Assumptions!$D49/100)*(Assumptions!$C49/100/'Benchmark-equivalent supply'!R$3)</f>
        <v>1.4420564516129031</v>
      </c>
      <c r="S51" s="32">
        <f>'Seaborne Supply'!S49*(1-Assumptions!$D49/100)*(Assumptions!$C49/100/'Benchmark-equivalent supply'!S$3)</f>
        <v>1.4656967213114753</v>
      </c>
      <c r="T51" s="32">
        <f>'Seaborne Supply'!T49*(1-Assumptions!$D49/100)*(Assumptions!$C49/100/'Benchmark-equivalent supply'!T$3)</f>
        <v>1.4656967213114753</v>
      </c>
      <c r="U51" s="32">
        <f>'Seaborne Supply'!U49*(1-Assumptions!$D49/100)*(Assumptions!$C49/100/'Benchmark-equivalent supply'!U$3)</f>
        <v>1.4656967213114753</v>
      </c>
      <c r="V51" s="32">
        <f>'Seaborne Supply'!V49*(1-Assumptions!$D49/100)*(Assumptions!$C49/100/'Benchmark-equivalent supply'!V$3)</f>
        <v>1.4656967213114753</v>
      </c>
      <c r="W51" s="32">
        <f>'Seaborne Supply'!W49*(1-Assumptions!$D49/100)*(Assumptions!$C49/100/'Benchmark-equivalent supply'!W$3)</f>
        <v>1.4656967213114753</v>
      </c>
      <c r="X51" s="32">
        <f>'Seaborne Supply'!X49*(1-Assumptions!$D49/100)*(Assumptions!$C49/100/'Benchmark-equivalent supply'!X$3)</f>
        <v>1.4656967213114753</v>
      </c>
      <c r="Y51" s="32">
        <f>'Seaborne Supply'!Y49*(1-Assumptions!$D49/100)*(Assumptions!$C49/100/'Benchmark-equivalent supply'!Y$3)</f>
        <v>1.4656967213114753</v>
      </c>
      <c r="Z51" s="32">
        <f>'Seaborne Supply'!Z49*(1-Assumptions!$D49/100)*(Assumptions!$C49/100/'Benchmark-equivalent supply'!Z$3)</f>
        <v>1.4656967213114753</v>
      </c>
      <c r="AA51" s="32">
        <f>'Seaborne Supply'!AA49*(1-Assumptions!$D49/100)*(Assumptions!$C49/100/'Benchmark-equivalent supply'!AA$3)</f>
        <v>1.4656967213114753</v>
      </c>
      <c r="AB51" s="32">
        <f>'Seaborne Supply'!AB49*(1-Assumptions!$D49/100)*(Assumptions!$C49/100/'Benchmark-equivalent supply'!AB$3)</f>
        <v>1.4656967213114753</v>
      </c>
    </row>
    <row r="52" spans="1:28" x14ac:dyDescent="0.2">
      <c r="A52" s="7" t="s">
        <v>254</v>
      </c>
      <c r="C52" s="32">
        <f>'Seaborne Supply'!C50*(1-Assumptions!$D50/100)*(Assumptions!$C50/100/'Benchmark-equivalent supply'!C$3)</f>
        <v>0.75148387096774205</v>
      </c>
      <c r="D52" s="32">
        <f>'Seaborne Supply'!D50*(1-Assumptions!$D50/100)*(Assumptions!$C50/100/'Benchmark-equivalent supply'!D$3)</f>
        <v>0.84541935483870967</v>
      </c>
      <c r="E52" s="32">
        <f>'Seaborne Supply'!E50*(1-Assumptions!$D50/100)*(Assumptions!$C50/100/'Benchmark-equivalent supply'!E$3)</f>
        <v>0.9393548387096774</v>
      </c>
      <c r="F52" s="32">
        <f>'Seaborne Supply'!F50*(1-Assumptions!$D50/100)*(Assumptions!$C50/100/'Benchmark-equivalent supply'!F$3)</f>
        <v>1.0332903225806453</v>
      </c>
      <c r="G52" s="32">
        <f>'Seaborne Supply'!G50*(1-Assumptions!$D50/100)*(Assumptions!$C50/100/'Benchmark-equivalent supply'!G$3)</f>
        <v>0.9393548387096774</v>
      </c>
      <c r="H52" s="32">
        <f>'Seaborne Supply'!H50*(1-Assumptions!$D50/100)*(Assumptions!$C50/100/'Benchmark-equivalent supply'!H$3)</f>
        <v>0.75148387096774205</v>
      </c>
      <c r="I52" s="32">
        <f>'Seaborne Supply'!I50*(1-Assumptions!$D50/100)*(Assumptions!$C50/100/'Benchmark-equivalent supply'!I$3)</f>
        <v>0.84541935483870967</v>
      </c>
      <c r="J52" s="32">
        <f>'Seaborne Supply'!J50*(1-Assumptions!$D50/100)*(Assumptions!$C50/100/'Benchmark-equivalent supply'!J$3)</f>
        <v>1.0332903225806453</v>
      </c>
      <c r="K52" s="32">
        <f>'Seaborne Supply'!K50*(1-Assumptions!$D50/100)*(Assumptions!$C50/100/'Benchmark-equivalent supply'!K$3)</f>
        <v>1.409032258064516</v>
      </c>
      <c r="L52" s="32">
        <f>'Seaborne Supply'!L50*(1-Assumptions!$D50/100)*(Assumptions!$C50/100/'Benchmark-equivalent supply'!L$3)</f>
        <v>1.6908387096774193</v>
      </c>
      <c r="M52" s="32">
        <f>'Seaborne Supply'!M50*(1-Assumptions!$D50/100)*(Assumptions!$C50/100/'Benchmark-equivalent supply'!M$3)</f>
        <v>2.0665806451612907</v>
      </c>
      <c r="N52" s="32">
        <f>'Seaborne Supply'!N50*(1-Assumptions!$D50/100)*(Assumptions!$C50/100/'Benchmark-equivalent supply'!N$3)</f>
        <v>2.8180645161290321</v>
      </c>
      <c r="O52" s="32">
        <f>'Seaborne Supply'!O50*(1-Assumptions!$D50/100)*(Assumptions!$C50/100/'Benchmark-equivalent supply'!O$3)</f>
        <v>2.9119999999999999</v>
      </c>
      <c r="P52" s="32">
        <f>'Seaborne Supply'!P50*(1-Assumptions!$D50/100)*(Assumptions!$C50/100/'Benchmark-equivalent supply'!P$3)</f>
        <v>2.8180645161290321</v>
      </c>
      <c r="Q52" s="32">
        <f>'Seaborne Supply'!Q50*(1-Assumptions!$D50/100)*(Assumptions!$C50/100/'Benchmark-equivalent supply'!Q$3)</f>
        <v>2.6301935483870968</v>
      </c>
      <c r="R52" s="32">
        <f>'Seaborne Supply'!R50*(1-Assumptions!$D50/100)*(Assumptions!$C50/100/'Benchmark-equivalent supply'!R$3)</f>
        <v>2.8180645161290321</v>
      </c>
      <c r="S52" s="32">
        <f>'Seaborne Supply'!S50*(1-Assumptions!$D50/100)*(Assumptions!$C50/100/'Benchmark-equivalent supply'!S$3)</f>
        <v>3.0552131147540988</v>
      </c>
      <c r="T52" s="32">
        <f>'Seaborne Supply'!T50*(1-Assumptions!$D50/100)*(Assumptions!$C50/100/'Benchmark-equivalent supply'!T$3)</f>
        <v>3.0552131147540988</v>
      </c>
      <c r="U52" s="32">
        <f>'Seaborne Supply'!U50*(1-Assumptions!$D50/100)*(Assumptions!$C50/100/'Benchmark-equivalent supply'!U$3)</f>
        <v>3.0552131147540988</v>
      </c>
      <c r="V52" s="32">
        <f>'Seaborne Supply'!V50*(1-Assumptions!$D50/100)*(Assumptions!$C50/100/'Benchmark-equivalent supply'!V$3)</f>
        <v>3.0552131147540988</v>
      </c>
      <c r="W52" s="32">
        <f>'Seaborne Supply'!W50*(1-Assumptions!$D50/100)*(Assumptions!$C50/100/'Benchmark-equivalent supply'!W$3)</f>
        <v>3.0552131147540988</v>
      </c>
      <c r="X52" s="32">
        <f>'Seaborne Supply'!X50*(1-Assumptions!$D50/100)*(Assumptions!$C50/100/'Benchmark-equivalent supply'!X$3)</f>
        <v>3.0552131147540988</v>
      </c>
      <c r="Y52" s="32">
        <f>'Seaborne Supply'!Y50*(1-Assumptions!$D50/100)*(Assumptions!$C50/100/'Benchmark-equivalent supply'!Y$3)</f>
        <v>3.0552131147540988</v>
      </c>
      <c r="Z52" s="32">
        <f>'Seaborne Supply'!Z50*(1-Assumptions!$D50/100)*(Assumptions!$C50/100/'Benchmark-equivalent supply'!Z$3)</f>
        <v>3.0552131147540988</v>
      </c>
      <c r="AA52" s="32">
        <f>'Seaborne Supply'!AA50*(1-Assumptions!$D50/100)*(Assumptions!$C50/100/'Benchmark-equivalent supply'!AA$3)</f>
        <v>3.0552131147540988</v>
      </c>
      <c r="AB52" s="32">
        <f>'Seaborne Supply'!AB50*(1-Assumptions!$D50/100)*(Assumptions!$C50/100/'Benchmark-equivalent supply'!AB$3)</f>
        <v>3.0552131147540988</v>
      </c>
    </row>
    <row r="53" spans="1:28" x14ac:dyDescent="0.2">
      <c r="A53" s="7" t="s">
        <v>248</v>
      </c>
      <c r="C53" s="32">
        <f>'Seaborne Supply'!C51*(1-Assumptions!$D51/100)*(Assumptions!$C51/100/'Benchmark-equivalent supply'!C$3)</f>
        <v>0.57870967741935486</v>
      </c>
      <c r="D53" s="32">
        <f>'Seaborne Supply'!D51*(1-Assumptions!$D51/100)*(Assumptions!$C51/100/'Benchmark-equivalent supply'!D$3)</f>
        <v>0.67516129032258065</v>
      </c>
      <c r="E53" s="32">
        <f>'Seaborne Supply'!E51*(1-Assumptions!$D51/100)*(Assumptions!$C51/100/'Benchmark-equivalent supply'!E$3)</f>
        <v>0.77161290322580656</v>
      </c>
      <c r="F53" s="32">
        <f>'Seaborne Supply'!F51*(1-Assumptions!$D51/100)*(Assumptions!$C51/100/'Benchmark-equivalent supply'!F$3)</f>
        <v>0.86806451612903235</v>
      </c>
      <c r="G53" s="32">
        <f>'Seaborne Supply'!G51*(1-Assumptions!$D51/100)*(Assumptions!$C51/100/'Benchmark-equivalent supply'!G$3)</f>
        <v>0.86806451612903235</v>
      </c>
      <c r="H53" s="32">
        <f>'Seaborne Supply'!H51*(1-Assumptions!$D51/100)*(Assumptions!$C51/100/'Benchmark-equivalent supply'!H$3)</f>
        <v>0.77161290322580656</v>
      </c>
      <c r="I53" s="32">
        <f>'Seaborne Supply'!I51*(1-Assumptions!$D51/100)*(Assumptions!$C51/100/'Benchmark-equivalent supply'!I$3)</f>
        <v>0.86806451612903235</v>
      </c>
      <c r="J53" s="32">
        <f>'Seaborne Supply'!J51*(1-Assumptions!$D51/100)*(Assumptions!$C51/100/'Benchmark-equivalent supply'!J$3)</f>
        <v>0.96451612903225803</v>
      </c>
      <c r="K53" s="32">
        <f>'Seaborne Supply'!K51*(1-Assumptions!$D51/100)*(Assumptions!$C51/100/'Benchmark-equivalent supply'!K$3)</f>
        <v>1.1574193548387097</v>
      </c>
      <c r="L53" s="32">
        <f>'Seaborne Supply'!L51*(1-Assumptions!$D51/100)*(Assumptions!$C51/100/'Benchmark-equivalent supply'!L$3)</f>
        <v>1.4467741935483871</v>
      </c>
      <c r="M53" s="32">
        <f>'Seaborne Supply'!M51*(1-Assumptions!$D51/100)*(Assumptions!$C51/100/'Benchmark-equivalent supply'!M$3)</f>
        <v>1.5432258064516131</v>
      </c>
      <c r="N53" s="32">
        <f>'Seaborne Supply'!N51*(1-Assumptions!$D51/100)*(Assumptions!$C51/100/'Benchmark-equivalent supply'!N$3)</f>
        <v>1.9290322580645161</v>
      </c>
      <c r="O53" s="32">
        <f>'Seaborne Supply'!O51*(1-Assumptions!$D51/100)*(Assumptions!$C51/100/'Benchmark-equivalent supply'!O$3)</f>
        <v>2.7006451612903226</v>
      </c>
      <c r="P53" s="32">
        <f>'Seaborne Supply'!P51*(1-Assumptions!$D51/100)*(Assumptions!$C51/100/'Benchmark-equivalent supply'!P$3)</f>
        <v>3.6651612903225805</v>
      </c>
      <c r="Q53" s="32">
        <f>'Seaborne Supply'!Q51*(1-Assumptions!$D51/100)*(Assumptions!$C51/100/'Benchmark-equivalent supply'!Q$3)</f>
        <v>4.8225806451612909</v>
      </c>
      <c r="R53" s="32">
        <f>'Seaborne Supply'!R51*(1-Assumptions!$D51/100)*(Assumptions!$C51/100/'Benchmark-equivalent supply'!R$3)</f>
        <v>5.3048387096774192</v>
      </c>
      <c r="S53" s="32">
        <f>'Seaborne Supply'!S51*(1-Assumptions!$D51/100)*(Assumptions!$C51/100/'Benchmark-equivalent supply'!S$3)</f>
        <v>6.3721311475409843</v>
      </c>
      <c r="T53" s="32">
        <f>'Seaborne Supply'!T51*(1-Assumptions!$D51/100)*(Assumptions!$C51/100/'Benchmark-equivalent supply'!T$3)</f>
        <v>7.8426229508196732</v>
      </c>
      <c r="U53" s="32">
        <f>'Seaborne Supply'!U51*(1-Assumptions!$D51/100)*(Assumptions!$C51/100/'Benchmark-equivalent supply'!U$3)</f>
        <v>9.8032786885245926</v>
      </c>
      <c r="V53" s="32">
        <f>'Seaborne Supply'!V51*(1-Assumptions!$D51/100)*(Assumptions!$C51/100/'Benchmark-equivalent supply'!V$3)</f>
        <v>11.27377049180328</v>
      </c>
      <c r="W53" s="32">
        <f>'Seaborne Supply'!W51*(1-Assumptions!$D51/100)*(Assumptions!$C51/100/'Benchmark-equivalent supply'!W$3)</f>
        <v>12.744262295081969</v>
      </c>
      <c r="X53" s="32">
        <f>'Seaborne Supply'!X51*(1-Assumptions!$D51/100)*(Assumptions!$C51/100/'Benchmark-equivalent supply'!X$3)</f>
        <v>13.724590163934428</v>
      </c>
      <c r="Y53" s="32">
        <f>'Seaborne Supply'!Y51*(1-Assumptions!$D51/100)*(Assumptions!$C51/100/'Benchmark-equivalent supply'!Y$3)</f>
        <v>14.704918032786887</v>
      </c>
      <c r="Z53" s="32">
        <f>'Seaborne Supply'!Z51*(1-Assumptions!$D51/100)*(Assumptions!$C51/100/'Benchmark-equivalent supply'!Z$3)</f>
        <v>14.704918032786887</v>
      </c>
      <c r="AA53" s="32">
        <f>'Seaborne Supply'!AA51*(1-Assumptions!$D51/100)*(Assumptions!$C51/100/'Benchmark-equivalent supply'!AA$3)</f>
        <v>14.704918032786887</v>
      </c>
      <c r="AB53" s="32">
        <f>'Seaborne Supply'!AB51*(1-Assumptions!$D51/100)*(Assumptions!$C51/100/'Benchmark-equivalent supply'!AB$3)</f>
        <v>14.704918032786887</v>
      </c>
    </row>
    <row r="54" spans="1:28" x14ac:dyDescent="0.2">
      <c r="A54" s="7" t="s">
        <v>255</v>
      </c>
      <c r="C54" s="32">
        <f>'Seaborne Supply'!C52*(1-Assumptions!$D52/100)*(Assumptions!$C52/100/'Benchmark-equivalent supply'!C$3)</f>
        <v>0.75974193548387103</v>
      </c>
      <c r="D54" s="32">
        <f>'Seaborne Supply'!D52*(1-Assumptions!$D52/100)*(Assumptions!$C52/100/'Benchmark-equivalent supply'!D$3)</f>
        <v>0.85470967741935489</v>
      </c>
      <c r="E54" s="32">
        <f>'Seaborne Supply'!E52*(1-Assumptions!$D52/100)*(Assumptions!$C52/100/'Benchmark-equivalent supply'!E$3)</f>
        <v>0.94967741935483874</v>
      </c>
      <c r="F54" s="32">
        <f>'Seaborne Supply'!F52*(1-Assumptions!$D52/100)*(Assumptions!$C52/100/'Benchmark-equivalent supply'!F$3)</f>
        <v>1.0446451612903227</v>
      </c>
      <c r="G54" s="32">
        <f>'Seaborne Supply'!G52*(1-Assumptions!$D52/100)*(Assumptions!$C52/100/'Benchmark-equivalent supply'!G$3)</f>
        <v>0.94967741935483874</v>
      </c>
      <c r="H54" s="32">
        <f>'Seaborne Supply'!H52*(1-Assumptions!$D52/100)*(Assumptions!$C52/100/'Benchmark-equivalent supply'!H$3)</f>
        <v>0.75974193548387103</v>
      </c>
      <c r="I54" s="32">
        <f>'Seaborne Supply'!I52*(1-Assumptions!$D52/100)*(Assumptions!$C52/100/'Benchmark-equivalent supply'!I$3)</f>
        <v>0.85470967741935489</v>
      </c>
      <c r="J54" s="32">
        <f>'Seaborne Supply'!J52*(1-Assumptions!$D52/100)*(Assumptions!$C52/100/'Benchmark-equivalent supply'!J$3)</f>
        <v>0.94967741935483874</v>
      </c>
      <c r="K54" s="32">
        <f>'Seaborne Supply'!K52*(1-Assumptions!$D52/100)*(Assumptions!$C52/100/'Benchmark-equivalent supply'!K$3)</f>
        <v>1.1396129032258064</v>
      </c>
      <c r="L54" s="32">
        <f>'Seaborne Supply'!L52*(1-Assumptions!$D52/100)*(Assumptions!$C52/100/'Benchmark-equivalent supply'!L$3)</f>
        <v>1.3295483870967741</v>
      </c>
      <c r="M54" s="32">
        <f>'Seaborne Supply'!M52*(1-Assumptions!$D52/100)*(Assumptions!$C52/100/'Benchmark-equivalent supply'!M$3)</f>
        <v>1.5194838709677421</v>
      </c>
      <c r="N54" s="32">
        <f>'Seaborne Supply'!N52*(1-Assumptions!$D52/100)*(Assumptions!$C52/100/'Benchmark-equivalent supply'!N$3)</f>
        <v>2.1842580645161291</v>
      </c>
      <c r="O54" s="32">
        <f>'Seaborne Supply'!O52*(1-Assumptions!$D52/100)*(Assumptions!$C52/100/'Benchmark-equivalent supply'!O$3)</f>
        <v>2.2792258064516129</v>
      </c>
      <c r="P54" s="32">
        <f>'Seaborne Supply'!P52*(1-Assumptions!$D52/100)*(Assumptions!$C52/100/'Benchmark-equivalent supply'!P$3)</f>
        <v>2.3741935483870971</v>
      </c>
      <c r="Q54" s="32">
        <f>'Seaborne Supply'!Q52*(1-Assumptions!$D52/100)*(Assumptions!$C52/100/'Benchmark-equivalent supply'!Q$3)</f>
        <v>2.6590967741935483</v>
      </c>
      <c r="R54" s="32">
        <f>'Seaborne Supply'!R52*(1-Assumptions!$D52/100)*(Assumptions!$C52/100/'Benchmark-equivalent supply'!R$3)</f>
        <v>2.8490322580645162</v>
      </c>
      <c r="S54" s="32">
        <f>'Seaborne Supply'!S52*(1-Assumptions!$D52/100)*(Assumptions!$C52/100/'Benchmark-equivalent supply'!S$3)</f>
        <v>2.8957377049180333</v>
      </c>
      <c r="T54" s="32">
        <f>'Seaborne Supply'!T52*(1-Assumptions!$D52/100)*(Assumptions!$C52/100/'Benchmark-equivalent supply'!T$3)</f>
        <v>3.0887868852459022</v>
      </c>
      <c r="U54" s="32">
        <f>'Seaborne Supply'!U52*(1-Assumptions!$D52/100)*(Assumptions!$C52/100/'Benchmark-equivalent supply'!U$3)</f>
        <v>3.4748852459016399</v>
      </c>
      <c r="V54" s="32">
        <f>'Seaborne Supply'!V52*(1-Assumptions!$D52/100)*(Assumptions!$C52/100/'Benchmark-equivalent supply'!V$3)</f>
        <v>3.8609836065573773</v>
      </c>
      <c r="W54" s="32">
        <f>'Seaborne Supply'!W52*(1-Assumptions!$D52/100)*(Assumptions!$C52/100/'Benchmark-equivalent supply'!W$3)</f>
        <v>4.3436065573770497</v>
      </c>
      <c r="X54" s="32">
        <f>'Seaborne Supply'!X52*(1-Assumptions!$D52/100)*(Assumptions!$C52/100/'Benchmark-equivalent supply'!X$3)</f>
        <v>4.6331803278688533</v>
      </c>
      <c r="Y54" s="32">
        <f>'Seaborne Supply'!Y52*(1-Assumptions!$D52/100)*(Assumptions!$C52/100/'Benchmark-equivalent supply'!Y$3)</f>
        <v>4.8262295081967217</v>
      </c>
      <c r="Z54" s="32">
        <f>'Seaborne Supply'!Z52*(1-Assumptions!$D52/100)*(Assumptions!$C52/100/'Benchmark-equivalent supply'!Z$3)</f>
        <v>5.019278688524591</v>
      </c>
      <c r="AA54" s="32">
        <f>'Seaborne Supply'!AA52*(1-Assumptions!$D52/100)*(Assumptions!$C52/100/'Benchmark-equivalent supply'!AA$3)</f>
        <v>5.019278688524591</v>
      </c>
      <c r="AB54" s="32">
        <f>'Seaborne Supply'!AB52*(1-Assumptions!$D52/100)*(Assumptions!$C52/100/'Benchmark-equivalent supply'!AB$3)</f>
        <v>5.019278688524591</v>
      </c>
    </row>
    <row r="55" spans="1:28" x14ac:dyDescent="0.2">
      <c r="A55" s="7" t="s">
        <v>256</v>
      </c>
      <c r="C55" s="32">
        <f>'Seaborne Supply'!C53*(1-Assumptions!$D53/100)*(Assumptions!$C53/100/'Benchmark-equivalent supply'!C$3)</f>
        <v>0.64521935483870974</v>
      </c>
      <c r="D55" s="32">
        <f>'Seaborne Supply'!D53*(1-Assumptions!$D53/100)*(Assumptions!$C53/100/'Benchmark-equivalent supply'!D$3)</f>
        <v>0.73739354838709692</v>
      </c>
      <c r="E55" s="32">
        <f>'Seaborne Supply'!E53*(1-Assumptions!$D53/100)*(Assumptions!$C53/100/'Benchmark-equivalent supply'!E$3)</f>
        <v>0.82956774193548399</v>
      </c>
      <c r="F55" s="32">
        <f>'Seaborne Supply'!F53*(1-Assumptions!$D53/100)*(Assumptions!$C53/100/'Benchmark-equivalent supply'!F$3)</f>
        <v>0.92174193548387107</v>
      </c>
      <c r="G55" s="32">
        <f>'Seaborne Supply'!G53*(1-Assumptions!$D53/100)*(Assumptions!$C53/100/'Benchmark-equivalent supply'!G$3)</f>
        <v>0.82956774193548399</v>
      </c>
      <c r="H55" s="32">
        <f>'Seaborne Supply'!H53*(1-Assumptions!$D53/100)*(Assumptions!$C53/100/'Benchmark-equivalent supply'!H$3)</f>
        <v>0.73739354838709692</v>
      </c>
      <c r="I55" s="32">
        <f>'Seaborne Supply'!I53*(1-Assumptions!$D53/100)*(Assumptions!$C53/100/'Benchmark-equivalent supply'!I$3)</f>
        <v>0.73739354838709692</v>
      </c>
      <c r="J55" s="32">
        <f>'Seaborne Supply'!J53*(1-Assumptions!$D53/100)*(Assumptions!$C53/100/'Benchmark-equivalent supply'!J$3)</f>
        <v>0.82956774193548399</v>
      </c>
      <c r="K55" s="32">
        <f>'Seaborne Supply'!K53*(1-Assumptions!$D53/100)*(Assumptions!$C53/100/'Benchmark-equivalent supply'!K$3)</f>
        <v>0.92174193548387107</v>
      </c>
      <c r="L55" s="32">
        <f>'Seaborne Supply'!L53*(1-Assumptions!$D53/100)*(Assumptions!$C53/100/'Benchmark-equivalent supply'!L$3)</f>
        <v>1.0139161290322583</v>
      </c>
      <c r="M55" s="32">
        <f>'Seaborne Supply'!M53*(1-Assumptions!$D53/100)*(Assumptions!$C53/100/'Benchmark-equivalent supply'!M$3)</f>
        <v>1.1060903225806453</v>
      </c>
      <c r="N55" s="32">
        <f>'Seaborne Supply'!N53*(1-Assumptions!$D53/100)*(Assumptions!$C53/100/'Benchmark-equivalent supply'!N$3)</f>
        <v>1.3826129032258065</v>
      </c>
      <c r="O55" s="32">
        <f>'Seaborne Supply'!O53*(1-Assumptions!$D53/100)*(Assumptions!$C53/100/'Benchmark-equivalent supply'!O$3)</f>
        <v>1.2904387096774195</v>
      </c>
      <c r="P55" s="32">
        <f>'Seaborne Supply'!P53*(1-Assumptions!$D53/100)*(Assumptions!$C53/100/'Benchmark-equivalent supply'!P$3)</f>
        <v>1.1982645161290324</v>
      </c>
      <c r="Q55" s="32">
        <f>'Seaborne Supply'!Q53*(1-Assumptions!$D53/100)*(Assumptions!$C53/100/'Benchmark-equivalent supply'!Q$3)</f>
        <v>1.0139161290322583</v>
      </c>
      <c r="R55" s="32">
        <f>'Seaborne Supply'!R53*(1-Assumptions!$D53/100)*(Assumptions!$C53/100/'Benchmark-equivalent supply'!R$3)</f>
        <v>1.0139161290322583</v>
      </c>
      <c r="S55" s="32">
        <f>'Seaborne Supply'!S53*(1-Assumptions!$D53/100)*(Assumptions!$C53/100/'Benchmark-equivalent supply'!S$3)</f>
        <v>1.0305377049180329</v>
      </c>
      <c r="T55" s="32">
        <f>'Seaborne Supply'!T53*(1-Assumptions!$D53/100)*(Assumptions!$C53/100/'Benchmark-equivalent supply'!T$3)</f>
        <v>1.0305377049180329</v>
      </c>
      <c r="U55" s="32">
        <f>'Seaborne Supply'!U53*(1-Assumptions!$D53/100)*(Assumptions!$C53/100/'Benchmark-equivalent supply'!U$3)</f>
        <v>1.6863344262295084</v>
      </c>
      <c r="V55" s="32">
        <f>'Seaborne Supply'!V53*(1-Assumptions!$D53/100)*(Assumptions!$C53/100/'Benchmark-equivalent supply'!V$3)</f>
        <v>2.0610754098360657</v>
      </c>
      <c r="W55" s="32">
        <f>'Seaborne Supply'!W53*(1-Assumptions!$D53/100)*(Assumptions!$C53/100/'Benchmark-equivalent supply'!W$3)</f>
        <v>2.4358163934426234</v>
      </c>
      <c r="X55" s="32">
        <f>'Seaborne Supply'!X53*(1-Assumptions!$D53/100)*(Assumptions!$C53/100/'Benchmark-equivalent supply'!X$3)</f>
        <v>2.4358163934426234</v>
      </c>
      <c r="Y55" s="32">
        <f>'Seaborne Supply'!Y53*(1-Assumptions!$D53/100)*(Assumptions!$C53/100/'Benchmark-equivalent supply'!Y$3)</f>
        <v>2.4358163934426234</v>
      </c>
      <c r="Z55" s="32">
        <f>'Seaborne Supply'!Z53*(1-Assumptions!$D53/100)*(Assumptions!$C53/100/'Benchmark-equivalent supply'!Z$3)</f>
        <v>2.4358163934426234</v>
      </c>
      <c r="AA55" s="32">
        <f>'Seaborne Supply'!AA53*(1-Assumptions!$D53/100)*(Assumptions!$C53/100/'Benchmark-equivalent supply'!AA$3)</f>
        <v>2.4358163934426234</v>
      </c>
      <c r="AB55" s="32">
        <f>'Seaborne Supply'!AB53*(1-Assumptions!$D53/100)*(Assumptions!$C53/100/'Benchmark-equivalent supply'!AB$3)</f>
        <v>2.4358163934426234</v>
      </c>
    </row>
    <row r="56" spans="1:28" x14ac:dyDescent="0.2">
      <c r="A56" s="7" t="s">
        <v>137</v>
      </c>
      <c r="C56" s="32">
        <f>'Seaborne Supply'!C54*(1-Assumptions!$D54/100)*(Assumptions!$C54/100/'Benchmark-equivalent supply'!C$3)</f>
        <v>0</v>
      </c>
      <c r="D56" s="32">
        <f>'Seaborne Supply'!D54*(1-Assumptions!$D54/100)*(Assumptions!$C54/100/'Benchmark-equivalent supply'!D$3)</f>
        <v>0.29158064516129034</v>
      </c>
      <c r="E56" s="32">
        <f>'Seaborne Supply'!E54*(1-Assumptions!$D54/100)*(Assumptions!$C54/100/'Benchmark-equivalent supply'!E$3)</f>
        <v>0.3887741935483871</v>
      </c>
      <c r="F56" s="32">
        <f>'Seaborne Supply'!F54*(1-Assumptions!$D54/100)*(Assumptions!$C54/100/'Benchmark-equivalent supply'!F$3)</f>
        <v>3.9849354838709674</v>
      </c>
      <c r="G56" s="32">
        <f>'Seaborne Supply'!G54*(1-Assumptions!$D54/100)*(Assumptions!$C54/100/'Benchmark-equivalent supply'!G$3)</f>
        <v>8.1642580645161296</v>
      </c>
      <c r="H56" s="32">
        <f>'Seaborne Supply'!H54*(1-Assumptions!$D54/100)*(Assumptions!$C54/100/'Benchmark-equivalent supply'!H$3)</f>
        <v>9.2333870967741927</v>
      </c>
      <c r="I56" s="32">
        <f>'Seaborne Supply'!I54*(1-Assumptions!$D54/100)*(Assumptions!$C54/100/'Benchmark-equivalent supply'!I$3)</f>
        <v>8.261451612903226</v>
      </c>
      <c r="J56" s="32">
        <f>'Seaborne Supply'!J54*(1-Assumptions!$D54/100)*(Assumptions!$C54/100/'Benchmark-equivalent supply'!J$3)</f>
        <v>7.8726774193548383</v>
      </c>
      <c r="K56" s="32">
        <f>'Seaborne Supply'!K54*(1-Assumptions!$D54/100)*(Assumptions!$C54/100/'Benchmark-equivalent supply'!K$3)</f>
        <v>7.7754838709677419</v>
      </c>
      <c r="L56" s="32">
        <f>'Seaborne Supply'!L54*(1-Assumptions!$D54/100)*(Assumptions!$C54/100/'Benchmark-equivalent supply'!L$3)</f>
        <v>7.7754838709677419</v>
      </c>
      <c r="M56" s="32">
        <f>'Seaborne Supply'!M54*(1-Assumptions!$D54/100)*(Assumptions!$C54/100/'Benchmark-equivalent supply'!M$3)</f>
        <v>6.8035483870967743</v>
      </c>
      <c r="N56" s="32">
        <f>'Seaborne Supply'!N54*(1-Assumptions!$D54/100)*(Assumptions!$C54/100/'Benchmark-equivalent supply'!N$3)</f>
        <v>7.2895161290322577</v>
      </c>
      <c r="O56" s="32">
        <f>'Seaborne Supply'!O54*(1-Assumptions!$D54/100)*(Assumptions!$C54/100/'Benchmark-equivalent supply'!O$3)</f>
        <v>7.2895161290322577</v>
      </c>
      <c r="P56" s="32">
        <f>'Seaborne Supply'!P54*(1-Assumptions!$D54/100)*(Assumptions!$C54/100/'Benchmark-equivalent supply'!P$3)</f>
        <v>7.7754838709677419</v>
      </c>
      <c r="Q56" s="32">
        <f>'Seaborne Supply'!Q54*(1-Assumptions!$D54/100)*(Assumptions!$C54/100/'Benchmark-equivalent supply'!Q$3)</f>
        <v>7.7754838709677419</v>
      </c>
      <c r="R56" s="32">
        <f>'Seaborne Supply'!R54*(1-Assumptions!$D54/100)*(Assumptions!$C54/100/'Benchmark-equivalent supply'!R$3)</f>
        <v>7.7754838709677419</v>
      </c>
      <c r="S56" s="32">
        <f>'Seaborne Supply'!S54*(1-Assumptions!$D54/100)*(Assumptions!$C54/100/'Benchmark-equivalent supply'!S$3)</f>
        <v>7.9029508196721316</v>
      </c>
      <c r="T56" s="32">
        <f>'Seaborne Supply'!T54*(1-Assumptions!$D54/100)*(Assumptions!$C54/100/'Benchmark-equivalent supply'!T$3)</f>
        <v>7.9029508196721316</v>
      </c>
      <c r="U56" s="32">
        <f>'Seaborne Supply'!U54*(1-Assumptions!$D54/100)*(Assumptions!$C54/100/'Benchmark-equivalent supply'!U$3)</f>
        <v>7.9029508196721316</v>
      </c>
      <c r="V56" s="32">
        <f>'Seaborne Supply'!V54*(1-Assumptions!$D54/100)*(Assumptions!$C54/100/'Benchmark-equivalent supply'!V$3)</f>
        <v>7.9029508196721316</v>
      </c>
      <c r="W56" s="32">
        <f>'Seaborne Supply'!W54*(1-Assumptions!$D54/100)*(Assumptions!$C54/100/'Benchmark-equivalent supply'!W$3)</f>
        <v>7.9029508196721316</v>
      </c>
      <c r="X56" s="32">
        <f>'Seaborne Supply'!X54*(1-Assumptions!$D54/100)*(Assumptions!$C54/100/'Benchmark-equivalent supply'!X$3)</f>
        <v>7.9029508196721316</v>
      </c>
      <c r="Y56" s="32">
        <f>'Seaborne Supply'!Y54*(1-Assumptions!$D54/100)*(Assumptions!$C54/100/'Benchmark-equivalent supply'!Y$3)</f>
        <v>7.9029508196721316</v>
      </c>
      <c r="Z56" s="32">
        <f>'Seaborne Supply'!Z54*(1-Assumptions!$D54/100)*(Assumptions!$C54/100/'Benchmark-equivalent supply'!Z$3)</f>
        <v>7.9029508196721316</v>
      </c>
      <c r="AA56" s="32">
        <f>'Seaborne Supply'!AA54*(1-Assumptions!$D54/100)*(Assumptions!$C54/100/'Benchmark-equivalent supply'!AA$3)</f>
        <v>7.9029508196721316</v>
      </c>
      <c r="AB56" s="32">
        <f>'Seaborne Supply'!AB54*(1-Assumptions!$D54/100)*(Assumptions!$C54/100/'Benchmark-equivalent supply'!AB$3)</f>
        <v>7.9029508196721316</v>
      </c>
    </row>
    <row r="57" spans="1:28" x14ac:dyDescent="0.2">
      <c r="A57" s="7" t="s">
        <v>138</v>
      </c>
      <c r="C57" s="32">
        <f>'Seaborne Supply'!C55*(1-Assumptions!$D55/100)*(Assumptions!$C55/100/'Benchmark-equivalent supply'!C$3)</f>
        <v>8.3434354838709659</v>
      </c>
      <c r="D57" s="32">
        <f>'Seaborne Supply'!D55*(1-Assumptions!$D55/100)*(Assumptions!$C55/100/'Benchmark-equivalent supply'!D$3)</f>
        <v>7.7992983870967727</v>
      </c>
      <c r="E57" s="32">
        <f>'Seaborne Supply'!E55*(1-Assumptions!$D55/100)*(Assumptions!$C55/100/'Benchmark-equivalent supply'!E$3)</f>
        <v>12.787221774193545</v>
      </c>
      <c r="F57" s="32">
        <f>'Seaborne Supply'!F55*(1-Assumptions!$D55/100)*(Assumptions!$C55/100/'Benchmark-equivalent supply'!F$3)</f>
        <v>13.966185483870966</v>
      </c>
      <c r="G57" s="32">
        <f>'Seaborne Supply'!G55*(1-Assumptions!$D55/100)*(Assumptions!$C55/100/'Benchmark-equivalent supply'!G$3)</f>
        <v>14.419633064516127</v>
      </c>
      <c r="H57" s="32">
        <f>'Seaborne Supply'!H55*(1-Assumptions!$D55/100)*(Assumptions!$C55/100/'Benchmark-equivalent supply'!H$3)</f>
        <v>15.235838709677418</v>
      </c>
      <c r="I57" s="32">
        <f>'Seaborne Supply'!I55*(1-Assumptions!$D55/100)*(Assumptions!$C55/100/'Benchmark-equivalent supply'!I$3)</f>
        <v>15.235838709677418</v>
      </c>
      <c r="J57" s="32">
        <f>'Seaborne Supply'!J55*(1-Assumptions!$D55/100)*(Assumptions!$C55/100/'Benchmark-equivalent supply'!J$3)</f>
        <v>14.510322580645159</v>
      </c>
      <c r="K57" s="32">
        <f>'Seaborne Supply'!K55*(1-Assumptions!$D55/100)*(Assumptions!$C55/100/'Benchmark-equivalent supply'!K$3)</f>
        <v>4.2624072580645151</v>
      </c>
      <c r="L57" s="32">
        <f>'Seaborne Supply'!L55*(1-Assumptions!$D55/100)*(Assumptions!$C55/100/'Benchmark-equivalent supply'!L$3)</f>
        <v>5.4413709677419346</v>
      </c>
      <c r="M57" s="32">
        <f>'Seaborne Supply'!M55*(1-Assumptions!$D55/100)*(Assumptions!$C55/100/'Benchmark-equivalent supply'!M$3)</f>
        <v>7.9806774193548389</v>
      </c>
      <c r="N57" s="32">
        <f>'Seaborne Supply'!N55*(1-Assumptions!$D55/100)*(Assumptions!$C55/100/'Benchmark-equivalent supply'!N$3)</f>
        <v>9.5223991935483863</v>
      </c>
      <c r="O57" s="32">
        <f>'Seaborne Supply'!O55*(1-Assumptions!$D55/100)*(Assumptions!$C55/100/'Benchmark-equivalent supply'!O$3)</f>
        <v>7.8899879032258049</v>
      </c>
      <c r="P57" s="32">
        <f>'Seaborne Supply'!P55*(1-Assumptions!$D55/100)*(Assumptions!$C55/100/'Benchmark-equivalent supply'!P$3)</f>
        <v>6.8924032258064507</v>
      </c>
      <c r="Q57" s="32">
        <f>'Seaborne Supply'!Q55*(1-Assumptions!$D55/100)*(Assumptions!$C55/100/'Benchmark-equivalent supply'!Q$3)</f>
        <v>6.8924032258064507</v>
      </c>
      <c r="R57" s="32">
        <f>'Seaborne Supply'!R55*(1-Assumptions!$D55/100)*(Assumptions!$C55/100/'Benchmark-equivalent supply'!R$3)</f>
        <v>0.18137903225806451</v>
      </c>
      <c r="S57" s="32">
        <f>'Seaborne Supply'!S55*(1-Assumptions!$D55/100)*(Assumptions!$C55/100/'Benchmark-equivalent supply'!S$3)</f>
        <v>3.6870491803278687</v>
      </c>
      <c r="T57" s="32">
        <f>'Seaborne Supply'!T55*(1-Assumptions!$D55/100)*(Assumptions!$C55/100/'Benchmark-equivalent supply'!T$3)</f>
        <v>4.0557540983606559</v>
      </c>
      <c r="U57" s="32">
        <f>'Seaborne Supply'!U55*(1-Assumptions!$D55/100)*(Assumptions!$C55/100/'Benchmark-equivalent supply'!U$3)</f>
        <v>4.0557540983606559</v>
      </c>
      <c r="V57" s="32">
        <f>'Seaborne Supply'!V55*(1-Assumptions!$D55/100)*(Assumptions!$C55/100/'Benchmark-equivalent supply'!V$3)</f>
        <v>4.0557540983606559</v>
      </c>
      <c r="W57" s="32">
        <f>'Seaborne Supply'!W55*(1-Assumptions!$D55/100)*(Assumptions!$C55/100/'Benchmark-equivalent supply'!W$3)</f>
        <v>4.0557540983606559</v>
      </c>
      <c r="X57" s="32">
        <f>'Seaborne Supply'!X55*(1-Assumptions!$D55/100)*(Assumptions!$C55/100/'Benchmark-equivalent supply'!X$3)</f>
        <v>4.0557540983606559</v>
      </c>
      <c r="Y57" s="32">
        <f>'Seaborne Supply'!Y55*(1-Assumptions!$D55/100)*(Assumptions!$C55/100/'Benchmark-equivalent supply'!Y$3)</f>
        <v>4.0557540983606559</v>
      </c>
      <c r="Z57" s="32">
        <f>'Seaborne Supply'!Z55*(1-Assumptions!$D55/100)*(Assumptions!$C55/100/'Benchmark-equivalent supply'!Z$3)</f>
        <v>4.0557540983606559</v>
      </c>
      <c r="AA57" s="32">
        <f>'Seaborne Supply'!AA55*(1-Assumptions!$D55/100)*(Assumptions!$C55/100/'Benchmark-equivalent supply'!AA$3)</f>
        <v>4.0557540983606559</v>
      </c>
      <c r="AB57" s="32">
        <f>'Seaborne Supply'!AB55*(1-Assumptions!$D55/100)*(Assumptions!$C55/100/'Benchmark-equivalent supply'!AB$3)</f>
        <v>4.0557540983606559</v>
      </c>
    </row>
    <row r="58" spans="1:28" x14ac:dyDescent="0.2">
      <c r="A58" s="7" t="s">
        <v>146</v>
      </c>
      <c r="C58" s="32">
        <f>'Seaborne Supply'!C56*(1-Assumptions!$D56/100)*(Assumptions!$C56/100/'Benchmark-equivalent supply'!C$3)</f>
        <v>0</v>
      </c>
      <c r="D58" s="32">
        <f>'Seaborne Supply'!D56*(1-Assumptions!$D56/100)*(Assumptions!$C56/100/'Benchmark-equivalent supply'!D$3)</f>
        <v>0</v>
      </c>
      <c r="E58" s="32">
        <f>'Seaborne Supply'!E56*(1-Assumptions!$D56/100)*(Assumptions!$C56/100/'Benchmark-equivalent supply'!E$3)</f>
        <v>0</v>
      </c>
      <c r="F58" s="32">
        <f>'Seaborne Supply'!F56*(1-Assumptions!$D56/100)*(Assumptions!$C56/100/'Benchmark-equivalent supply'!F$3)</f>
        <v>0</v>
      </c>
      <c r="G58" s="32">
        <f>'Seaborne Supply'!G56*(1-Assumptions!$D56/100)*(Assumptions!$C56/100/'Benchmark-equivalent supply'!G$3)</f>
        <v>0</v>
      </c>
      <c r="H58" s="32">
        <f>'Seaborne Supply'!H56*(1-Assumptions!$D56/100)*(Assumptions!$C56/100/'Benchmark-equivalent supply'!H$3)</f>
        <v>0</v>
      </c>
      <c r="I58" s="32">
        <f>'Seaborne Supply'!I56*(1-Assumptions!$D56/100)*(Assumptions!$C56/100/'Benchmark-equivalent supply'!I$3)</f>
        <v>0</v>
      </c>
      <c r="J58" s="32">
        <f>'Seaborne Supply'!J56*(1-Assumptions!$D56/100)*(Assumptions!$C56/100/'Benchmark-equivalent supply'!J$3)</f>
        <v>0</v>
      </c>
      <c r="K58" s="32">
        <f>'Seaborne Supply'!K56*(1-Assumptions!$D56/100)*(Assumptions!$C56/100/'Benchmark-equivalent supply'!K$3)</f>
        <v>0</v>
      </c>
      <c r="L58" s="32">
        <f>'Seaborne Supply'!L56*(1-Assumptions!$D56/100)*(Assumptions!$C56/100/'Benchmark-equivalent supply'!L$3)</f>
        <v>0</v>
      </c>
      <c r="M58" s="32">
        <f>'Seaborne Supply'!M56*(1-Assumptions!$D56/100)*(Assumptions!$C56/100/'Benchmark-equivalent supply'!M$3)</f>
        <v>0</v>
      </c>
      <c r="N58" s="32">
        <f>'Seaborne Supply'!N56*(1-Assumptions!$D56/100)*(Assumptions!$C56/100/'Benchmark-equivalent supply'!N$3)</f>
        <v>0.46733870967741936</v>
      </c>
      <c r="O58" s="32">
        <f>'Seaborne Supply'!O56*(1-Assumptions!$D56/100)*(Assumptions!$C56/100/'Benchmark-equivalent supply'!O$3)</f>
        <v>1.2150806451612901</v>
      </c>
      <c r="P58" s="32">
        <f>'Seaborne Supply'!P56*(1-Assumptions!$D56/100)*(Assumptions!$C56/100/'Benchmark-equivalent supply'!P$3)</f>
        <v>1.308548387096774</v>
      </c>
      <c r="Q58" s="32">
        <f>'Seaborne Supply'!Q56*(1-Assumptions!$D56/100)*(Assumptions!$C56/100/'Benchmark-equivalent supply'!Q$3)</f>
        <v>1.4020161290322579</v>
      </c>
      <c r="R58" s="32">
        <f>'Seaborne Supply'!R56*(1-Assumptions!$D56/100)*(Assumptions!$C56/100/'Benchmark-equivalent supply'!R$3)</f>
        <v>2.2432258064516128</v>
      </c>
      <c r="S58" s="32">
        <f>'Seaborne Supply'!S56*(1-Assumptions!$D56/100)*(Assumptions!$C56/100/'Benchmark-equivalent supply'!S$3)</f>
        <v>4.18</v>
      </c>
      <c r="T58" s="32">
        <f>'Seaborne Supply'!T56*(1-Assumptions!$D56/100)*(Assumptions!$C56/100/'Benchmark-equivalent supply'!T$3)</f>
        <v>4.75</v>
      </c>
      <c r="U58" s="32">
        <f>'Seaborne Supply'!U56*(1-Assumptions!$D56/100)*(Assumptions!$C56/100/'Benchmark-equivalent supply'!U$3)</f>
        <v>5.6999999999999993</v>
      </c>
      <c r="V58" s="32">
        <f>'Seaborne Supply'!V56*(1-Assumptions!$D56/100)*(Assumptions!$C56/100/'Benchmark-equivalent supply'!V$3)</f>
        <v>6.6499999999999995</v>
      </c>
      <c r="W58" s="32">
        <f>'Seaborne Supply'!W56*(1-Assumptions!$D56/100)*(Assumptions!$C56/100/'Benchmark-equivalent supply'!W$3)</f>
        <v>8.0749999999999993</v>
      </c>
      <c r="X58" s="32">
        <f>'Seaborne Supply'!X56*(1-Assumptions!$D56/100)*(Assumptions!$C56/100/'Benchmark-equivalent supply'!X$3)</f>
        <v>9.5</v>
      </c>
      <c r="Y58" s="32">
        <f>'Seaborne Supply'!Y56*(1-Assumptions!$D56/100)*(Assumptions!$C56/100/'Benchmark-equivalent supply'!Y$3)</f>
        <v>9.5</v>
      </c>
      <c r="Z58" s="32">
        <f>'Seaborne Supply'!Z56*(1-Assumptions!$D56/100)*(Assumptions!$C56/100/'Benchmark-equivalent supply'!Z$3)</f>
        <v>9.5</v>
      </c>
      <c r="AA58" s="32">
        <f>'Seaborne Supply'!AA56*(1-Assumptions!$D56/100)*(Assumptions!$C56/100/'Benchmark-equivalent supply'!AA$3)</f>
        <v>9.5</v>
      </c>
      <c r="AB58" s="32">
        <f>'Seaborne Supply'!AB56*(1-Assumptions!$D56/100)*(Assumptions!$C56/100/'Benchmark-equivalent supply'!AB$3)</f>
        <v>9.5</v>
      </c>
    </row>
    <row r="59" spans="1:28" x14ac:dyDescent="0.2">
      <c r="A59" s="7" t="s">
        <v>139</v>
      </c>
      <c r="C59" s="32">
        <f>'Seaborne Supply'!C57*(1-Assumptions!$D57/100)*(Assumptions!$C57/100/'Benchmark-equivalent supply'!C$3)</f>
        <v>0</v>
      </c>
      <c r="D59" s="32">
        <f>'Seaborne Supply'!D57*(1-Assumptions!$D57/100)*(Assumptions!$C57/100/'Benchmark-equivalent supply'!D$3)</f>
        <v>0</v>
      </c>
      <c r="E59" s="32">
        <f>'Seaborne Supply'!E57*(1-Assumptions!$D57/100)*(Assumptions!$C57/100/'Benchmark-equivalent supply'!E$3)</f>
        <v>0</v>
      </c>
      <c r="F59" s="32">
        <f>'Seaborne Supply'!F57*(1-Assumptions!$D57/100)*(Assumptions!$C57/100/'Benchmark-equivalent supply'!F$3)</f>
        <v>0</v>
      </c>
      <c r="G59" s="32">
        <f>'Seaborne Supply'!G57*(1-Assumptions!$D57/100)*(Assumptions!$C57/100/'Benchmark-equivalent supply'!G$3)</f>
        <v>0</v>
      </c>
      <c r="H59" s="32">
        <f>'Seaborne Supply'!H57*(1-Assumptions!$D57/100)*(Assumptions!$C57/100/'Benchmark-equivalent supply'!H$3)</f>
        <v>0</v>
      </c>
      <c r="I59" s="32">
        <f>'Seaborne Supply'!I57*(1-Assumptions!$D57/100)*(Assumptions!$C57/100/'Benchmark-equivalent supply'!I$3)</f>
        <v>0</v>
      </c>
      <c r="J59" s="32">
        <f>'Seaborne Supply'!J57*(1-Assumptions!$D57/100)*(Assumptions!$C57/100/'Benchmark-equivalent supply'!J$3)</f>
        <v>0</v>
      </c>
      <c r="K59" s="32">
        <f>'Seaborne Supply'!K57*(1-Assumptions!$D57/100)*(Assumptions!$C57/100/'Benchmark-equivalent supply'!K$3)</f>
        <v>0</v>
      </c>
      <c r="L59" s="32">
        <f>'Seaborne Supply'!L57*(1-Assumptions!$D57/100)*(Assumptions!$C57/100/'Benchmark-equivalent supply'!L$3)</f>
        <v>0</v>
      </c>
      <c r="M59" s="32">
        <f>'Seaborne Supply'!M57*(1-Assumptions!$D57/100)*(Assumptions!$C57/100/'Benchmark-equivalent supply'!M$3)</f>
        <v>0</v>
      </c>
      <c r="N59" s="32">
        <f>'Seaborne Supply'!N57*(1-Assumptions!$D57/100)*(Assumptions!$C57/100/'Benchmark-equivalent supply'!N$3)</f>
        <v>0.47972580645161289</v>
      </c>
      <c r="O59" s="32">
        <f>'Seaborne Supply'!O57*(1-Assumptions!$D57/100)*(Assumptions!$C57/100/'Benchmark-equivalent supply'!O$3)</f>
        <v>0.76756129032258069</v>
      </c>
      <c r="P59" s="32">
        <f>'Seaborne Supply'!P57*(1-Assumptions!$D57/100)*(Assumptions!$C57/100/'Benchmark-equivalent supply'!P$3)</f>
        <v>0</v>
      </c>
      <c r="Q59" s="32">
        <f>'Seaborne Supply'!Q57*(1-Assumptions!$D57/100)*(Assumptions!$C57/100/'Benchmark-equivalent supply'!Q$3)</f>
        <v>0</v>
      </c>
      <c r="R59" s="32">
        <f>'Seaborne Supply'!R57*(1-Assumptions!$D57/100)*(Assumptions!$C57/100/'Benchmark-equivalent supply'!R$3)</f>
        <v>1.151341935483871</v>
      </c>
      <c r="S59" s="32">
        <f>'Seaborne Supply'!S57*(1-Assumptions!$D57/100)*(Assumptions!$C57/100/'Benchmark-equivalent supply'!S$3)</f>
        <v>2.2429147540983605</v>
      </c>
      <c r="T59" s="32">
        <f>'Seaborne Supply'!T57*(1-Assumptions!$D57/100)*(Assumptions!$C57/100/'Benchmark-equivalent supply'!T$3)</f>
        <v>2.4379508196721313</v>
      </c>
      <c r="U59" s="32">
        <f>'Seaborne Supply'!U57*(1-Assumptions!$D57/100)*(Assumptions!$C57/100/'Benchmark-equivalent supply'!U$3)</f>
        <v>2.6329868852459013</v>
      </c>
      <c r="V59" s="32">
        <f>'Seaborne Supply'!V57*(1-Assumptions!$D57/100)*(Assumptions!$C57/100/'Benchmark-equivalent supply'!V$3)</f>
        <v>2.9255409836065573</v>
      </c>
      <c r="W59" s="32">
        <f>'Seaborne Supply'!W57*(1-Assumptions!$D57/100)*(Assumptions!$C57/100/'Benchmark-equivalent supply'!W$3)</f>
        <v>2.9255409836065573</v>
      </c>
      <c r="X59" s="32">
        <f>'Seaborne Supply'!X57*(1-Assumptions!$D57/100)*(Assumptions!$C57/100/'Benchmark-equivalent supply'!X$3)</f>
        <v>2.9255409836065573</v>
      </c>
      <c r="Y59" s="32">
        <f>'Seaborne Supply'!Y57*(1-Assumptions!$D57/100)*(Assumptions!$C57/100/'Benchmark-equivalent supply'!Y$3)</f>
        <v>2.9255409836065573</v>
      </c>
      <c r="Z59" s="32">
        <f>'Seaborne Supply'!Z57*(1-Assumptions!$D57/100)*(Assumptions!$C57/100/'Benchmark-equivalent supply'!Z$3)</f>
        <v>2.9255409836065573</v>
      </c>
      <c r="AA59" s="32">
        <f>'Seaborne Supply'!AA57*(1-Assumptions!$D57/100)*(Assumptions!$C57/100/'Benchmark-equivalent supply'!AA$3)</f>
        <v>2.9255409836065573</v>
      </c>
      <c r="AB59" s="32">
        <f>'Seaborne Supply'!AB57*(1-Assumptions!$D57/100)*(Assumptions!$C57/100/'Benchmark-equivalent supply'!AB$3)</f>
        <v>2.9255409836065573</v>
      </c>
    </row>
    <row r="60" spans="1:28" x14ac:dyDescent="0.2">
      <c r="A60" s="7" t="s">
        <v>140</v>
      </c>
      <c r="C60" s="32">
        <f>'Seaborne Supply'!C58*(1-Assumptions!$D58/100)*(Assumptions!$C58/100/'Benchmark-equivalent supply'!C$3)</f>
        <v>5.6903225806451605</v>
      </c>
      <c r="D60" s="32">
        <f>'Seaborne Supply'!D58*(1-Assumptions!$D58/100)*(Assumptions!$C58/100/'Benchmark-equivalent supply'!D$3)</f>
        <v>5.6903225806451605</v>
      </c>
      <c r="E60" s="32">
        <f>'Seaborne Supply'!E58*(1-Assumptions!$D58/100)*(Assumptions!$C58/100/'Benchmark-equivalent supply'!E$3)</f>
        <v>5.9748387096774183</v>
      </c>
      <c r="F60" s="32">
        <f>'Seaborne Supply'!F58*(1-Assumptions!$D58/100)*(Assumptions!$C58/100/'Benchmark-equivalent supply'!F$3)</f>
        <v>6.3541935483870962</v>
      </c>
      <c r="G60" s="32">
        <f>'Seaborne Supply'!G58*(1-Assumptions!$D58/100)*(Assumptions!$C58/100/'Benchmark-equivalent supply'!G$3)</f>
        <v>8.250967741935483</v>
      </c>
      <c r="H60" s="32">
        <f>'Seaborne Supply'!H58*(1-Assumptions!$D58/100)*(Assumptions!$C58/100/'Benchmark-equivalent supply'!H$3)</f>
        <v>9.1993548387096755</v>
      </c>
      <c r="I60" s="32">
        <f>'Seaborne Supply'!I58*(1-Assumptions!$D58/100)*(Assumptions!$C58/100/'Benchmark-equivalent supply'!I$3)</f>
        <v>8.5354838709677416</v>
      </c>
      <c r="J60" s="32">
        <f>'Seaborne Supply'!J58*(1-Assumptions!$D58/100)*(Assumptions!$C58/100/'Benchmark-equivalent supply'!J$3)</f>
        <v>6.6387096774193539</v>
      </c>
      <c r="K60" s="32">
        <f>'Seaborne Supply'!K58*(1-Assumptions!$D58/100)*(Assumptions!$C58/100/'Benchmark-equivalent supply'!K$3)</f>
        <v>5.6903225806451605</v>
      </c>
      <c r="L60" s="32">
        <f>'Seaborne Supply'!L58*(1-Assumptions!$D58/100)*(Assumptions!$C58/100/'Benchmark-equivalent supply'!L$3)</f>
        <v>6.6387096774193539</v>
      </c>
      <c r="M60" s="32">
        <f>'Seaborne Supply'!M58*(1-Assumptions!$D58/100)*(Assumptions!$C58/100/'Benchmark-equivalent supply'!M$3)</f>
        <v>6.6387096774193539</v>
      </c>
      <c r="N60" s="32">
        <f>'Seaborne Supply'!N58*(1-Assumptions!$D58/100)*(Assumptions!$C58/100/'Benchmark-equivalent supply'!N$3)</f>
        <v>6.6387096774193539</v>
      </c>
      <c r="O60" s="32">
        <f>'Seaborne Supply'!O58*(1-Assumptions!$D58/100)*(Assumptions!$C58/100/'Benchmark-equivalent supply'!O$3)</f>
        <v>6.1645161290322577</v>
      </c>
      <c r="P60" s="32">
        <f>'Seaborne Supply'!P58*(1-Assumptions!$D58/100)*(Assumptions!$C58/100/'Benchmark-equivalent supply'!P$3)</f>
        <v>5.6903225806451605</v>
      </c>
      <c r="Q60" s="32">
        <f>'Seaborne Supply'!Q58*(1-Assumptions!$D58/100)*(Assumptions!$C58/100/'Benchmark-equivalent supply'!Q$3)</f>
        <v>6.6387096774193539</v>
      </c>
      <c r="R60" s="32">
        <f>'Seaborne Supply'!R58*(1-Assumptions!$D58/100)*(Assumptions!$C58/100/'Benchmark-equivalent supply'!R$3)</f>
        <v>7.1129032258064511</v>
      </c>
      <c r="S60" s="32">
        <f>'Seaborne Supply'!S58*(1-Assumptions!$D58/100)*(Assumptions!$C58/100/'Benchmark-equivalent supply'!S$3)</f>
        <v>5.3016393442622949</v>
      </c>
      <c r="T60" s="32">
        <f>'Seaborne Supply'!T58*(1-Assumptions!$D58/100)*(Assumptions!$C58/100/'Benchmark-equivalent supply'!T$3)</f>
        <v>2.8918032786885246</v>
      </c>
      <c r="U60" s="32">
        <f>'Seaborne Supply'!U58*(1-Assumptions!$D58/100)*(Assumptions!$C58/100/'Benchmark-equivalent supply'!U$3)</f>
        <v>0.9639344262295082</v>
      </c>
      <c r="V60" s="32">
        <f>'Seaborne Supply'!V58*(1-Assumptions!$D58/100)*(Assumptions!$C58/100/'Benchmark-equivalent supply'!V$3)</f>
        <v>0.4819672131147541</v>
      </c>
      <c r="W60" s="32">
        <f>'Seaborne Supply'!W58*(1-Assumptions!$D58/100)*(Assumptions!$C58/100/'Benchmark-equivalent supply'!W$3)</f>
        <v>0</v>
      </c>
      <c r="X60" s="32">
        <f>'Seaborne Supply'!X58*(1-Assumptions!$D58/100)*(Assumptions!$C58/100/'Benchmark-equivalent supply'!X$3)</f>
        <v>0</v>
      </c>
      <c r="Y60" s="32">
        <f>'Seaborne Supply'!Y58*(1-Assumptions!$D58/100)*(Assumptions!$C58/100/'Benchmark-equivalent supply'!Y$3)</f>
        <v>0</v>
      </c>
      <c r="Z60" s="32">
        <f>'Seaborne Supply'!Z58*(1-Assumptions!$D58/100)*(Assumptions!$C58/100/'Benchmark-equivalent supply'!Z$3)</f>
        <v>0</v>
      </c>
      <c r="AA60" s="32">
        <f>'Seaborne Supply'!AA58*(1-Assumptions!$D58/100)*(Assumptions!$C58/100/'Benchmark-equivalent supply'!AA$3)</f>
        <v>0</v>
      </c>
      <c r="AB60" s="32">
        <f>'Seaborne Supply'!AB58*(1-Assumptions!$D58/100)*(Assumptions!$C58/100/'Benchmark-equivalent supply'!AB$3)</f>
        <v>0</v>
      </c>
    </row>
    <row r="61" spans="1:28" x14ac:dyDescent="0.2">
      <c r="A61" s="7" t="s">
        <v>141</v>
      </c>
      <c r="C61" s="32">
        <f>'Seaborne Supply'!C59*(1-Assumptions!$D59/100)*(Assumptions!$C59/100/'Benchmark-equivalent supply'!C$3)</f>
        <v>0</v>
      </c>
      <c r="D61" s="32">
        <f>'Seaborne Supply'!D59*(1-Assumptions!$D59/100)*(Assumptions!$C59/100/'Benchmark-equivalent supply'!D$3)</f>
        <v>0</v>
      </c>
      <c r="E61" s="32">
        <f>'Seaborne Supply'!E59*(1-Assumptions!$D59/100)*(Assumptions!$C59/100/'Benchmark-equivalent supply'!E$3)</f>
        <v>9.5766129032258063E-2</v>
      </c>
      <c r="F61" s="32">
        <f>'Seaborne Supply'!F59*(1-Assumptions!$D59/100)*(Assumptions!$C59/100/'Benchmark-equivalent supply'!F$3)</f>
        <v>3.160282258064516</v>
      </c>
      <c r="G61" s="32">
        <f>'Seaborne Supply'!G59*(1-Assumptions!$D59/100)*(Assumptions!$C59/100/'Benchmark-equivalent supply'!G$3)</f>
        <v>3.6391129032258065</v>
      </c>
      <c r="H61" s="32">
        <f>'Seaborne Supply'!H59*(1-Assumptions!$D59/100)*(Assumptions!$C59/100/'Benchmark-equivalent supply'!H$3)</f>
        <v>1.532258064516129</v>
      </c>
      <c r="I61" s="32">
        <f>'Seaborne Supply'!I59*(1-Assumptions!$D59/100)*(Assumptions!$C59/100/'Benchmark-equivalent supply'!I$3)</f>
        <v>0</v>
      </c>
      <c r="J61" s="32">
        <f>'Seaborne Supply'!J59*(1-Assumptions!$D59/100)*(Assumptions!$C59/100/'Benchmark-equivalent supply'!J$3)</f>
        <v>0</v>
      </c>
      <c r="K61" s="32">
        <f>'Seaborne Supply'!K59*(1-Assumptions!$D59/100)*(Assumptions!$C59/100/'Benchmark-equivalent supply'!K$3)</f>
        <v>0</v>
      </c>
      <c r="L61" s="32">
        <f>'Seaborne Supply'!L59*(1-Assumptions!$D59/100)*(Assumptions!$C59/100/'Benchmark-equivalent supply'!L$3)</f>
        <v>0</v>
      </c>
      <c r="M61" s="32">
        <f>'Seaborne Supply'!M59*(1-Assumptions!$D59/100)*(Assumptions!$C59/100/'Benchmark-equivalent supply'!M$3)</f>
        <v>0</v>
      </c>
      <c r="N61" s="32">
        <f>'Seaborne Supply'!N59*(1-Assumptions!$D59/100)*(Assumptions!$C59/100/'Benchmark-equivalent supply'!N$3)</f>
        <v>2.2983870967741935</v>
      </c>
      <c r="O61" s="32">
        <f>'Seaborne Supply'!O59*(1-Assumptions!$D59/100)*(Assumptions!$C59/100/'Benchmark-equivalent supply'!O$3)</f>
        <v>2.2983870967741935</v>
      </c>
      <c r="P61" s="32">
        <f>'Seaborne Supply'!P59*(1-Assumptions!$D59/100)*(Assumptions!$C59/100/'Benchmark-equivalent supply'!P$3)</f>
        <v>2.2983870967741935</v>
      </c>
      <c r="Q61" s="32">
        <f>'Seaborne Supply'!Q59*(1-Assumptions!$D59/100)*(Assumptions!$C59/100/'Benchmark-equivalent supply'!Q$3)</f>
        <v>2.2983870967741935</v>
      </c>
      <c r="R61" s="32">
        <f>'Seaborne Supply'!R59*(1-Assumptions!$D59/100)*(Assumptions!$C59/100/'Benchmark-equivalent supply'!R$3)</f>
        <v>2.2983870967741935</v>
      </c>
      <c r="S61" s="32">
        <f>'Seaborne Supply'!S59*(1-Assumptions!$D59/100)*(Assumptions!$C59/100/'Benchmark-equivalent supply'!S$3)</f>
        <v>2.9200819672131142</v>
      </c>
      <c r="T61" s="32">
        <f>'Seaborne Supply'!T59*(1-Assumptions!$D59/100)*(Assumptions!$C59/100/'Benchmark-equivalent supply'!T$3)</f>
        <v>2.9200819672131142</v>
      </c>
      <c r="U61" s="32">
        <f>'Seaborne Supply'!U59*(1-Assumptions!$D59/100)*(Assumptions!$C59/100/'Benchmark-equivalent supply'!U$3)</f>
        <v>2.9200819672131142</v>
      </c>
      <c r="V61" s="32">
        <f>'Seaborne Supply'!V59*(1-Assumptions!$D59/100)*(Assumptions!$C59/100/'Benchmark-equivalent supply'!V$3)</f>
        <v>2.9200819672131142</v>
      </c>
      <c r="W61" s="32">
        <f>'Seaborne Supply'!W59*(1-Assumptions!$D59/100)*(Assumptions!$C59/100/'Benchmark-equivalent supply'!W$3)</f>
        <v>2.9200819672131142</v>
      </c>
      <c r="X61" s="32">
        <f>'Seaborne Supply'!X59*(1-Assumptions!$D59/100)*(Assumptions!$C59/100/'Benchmark-equivalent supply'!X$3)</f>
        <v>2.9200819672131142</v>
      </c>
      <c r="Y61" s="32">
        <f>'Seaborne Supply'!Y59*(1-Assumptions!$D59/100)*(Assumptions!$C59/100/'Benchmark-equivalent supply'!Y$3)</f>
        <v>2.9200819672131142</v>
      </c>
      <c r="Z61" s="32">
        <f>'Seaborne Supply'!Z59*(1-Assumptions!$D59/100)*(Assumptions!$C59/100/'Benchmark-equivalent supply'!Z$3)</f>
        <v>2.9200819672131142</v>
      </c>
      <c r="AA61" s="32">
        <f>'Seaborne Supply'!AA59*(1-Assumptions!$D59/100)*(Assumptions!$C59/100/'Benchmark-equivalent supply'!AA$3)</f>
        <v>2.9200819672131142</v>
      </c>
      <c r="AB61" s="32">
        <f>'Seaborne Supply'!AB59*(1-Assumptions!$D59/100)*(Assumptions!$C59/100/'Benchmark-equivalent supply'!AB$3)</f>
        <v>2.9200819672131142</v>
      </c>
    </row>
    <row r="62" spans="1:28" x14ac:dyDescent="0.2">
      <c r="A62" s="7" t="s">
        <v>142</v>
      </c>
      <c r="C62" s="32">
        <f>'Seaborne Supply'!C60*(1-Assumptions!$D60/100)*(Assumptions!$C60/100/'Benchmark-equivalent supply'!C$3)</f>
        <v>7.8645161290322591E-2</v>
      </c>
      <c r="D62" s="32">
        <f>'Seaborne Supply'!D60*(1-Assumptions!$D60/100)*(Assumptions!$C60/100/'Benchmark-equivalent supply'!D$3)</f>
        <v>0.94374193548387109</v>
      </c>
      <c r="E62" s="32">
        <f>'Seaborne Supply'!E60*(1-Assumptions!$D60/100)*(Assumptions!$C60/100/'Benchmark-equivalent supply'!E$3)</f>
        <v>1.336967741935484</v>
      </c>
      <c r="F62" s="32">
        <f>'Seaborne Supply'!F60*(1-Assumptions!$D60/100)*(Assumptions!$C60/100/'Benchmark-equivalent supply'!F$3)</f>
        <v>1.336967741935484</v>
      </c>
      <c r="G62" s="32">
        <f>'Seaborne Supply'!G60*(1-Assumptions!$D60/100)*(Assumptions!$C60/100/'Benchmark-equivalent supply'!G$3)</f>
        <v>0.70780645161290334</v>
      </c>
      <c r="H62" s="32">
        <f>'Seaborne Supply'!H60*(1-Assumptions!$D60/100)*(Assumptions!$C60/100/'Benchmark-equivalent supply'!H$3)</f>
        <v>0</v>
      </c>
      <c r="I62" s="32">
        <f>'Seaborne Supply'!I60*(1-Assumptions!$D60/100)*(Assumptions!$C60/100/'Benchmark-equivalent supply'!I$3)</f>
        <v>0.70780645161290334</v>
      </c>
      <c r="J62" s="32">
        <f>'Seaborne Supply'!J60*(1-Assumptions!$D60/100)*(Assumptions!$C60/100/'Benchmark-equivalent supply'!J$3)</f>
        <v>0.78645161290322585</v>
      </c>
      <c r="K62" s="32">
        <f>'Seaborne Supply'!K60*(1-Assumptions!$D60/100)*(Assumptions!$C60/100/'Benchmark-equivalent supply'!K$3)</f>
        <v>0</v>
      </c>
      <c r="L62" s="32">
        <f>'Seaborne Supply'!L60*(1-Assumptions!$D60/100)*(Assumptions!$C60/100/'Benchmark-equivalent supply'!L$3)</f>
        <v>0</v>
      </c>
      <c r="M62" s="32">
        <f>'Seaborne Supply'!M60*(1-Assumptions!$D60/100)*(Assumptions!$C60/100/'Benchmark-equivalent supply'!M$3)</f>
        <v>0</v>
      </c>
      <c r="N62" s="32">
        <f>'Seaborne Supply'!N60*(1-Assumptions!$D60/100)*(Assumptions!$C60/100/'Benchmark-equivalent supply'!N$3)</f>
        <v>0</v>
      </c>
      <c r="O62" s="32">
        <f>'Seaborne Supply'!O60*(1-Assumptions!$D60/100)*(Assumptions!$C60/100/'Benchmark-equivalent supply'!O$3)</f>
        <v>0</v>
      </c>
      <c r="P62" s="32">
        <f>'Seaborne Supply'!P60*(1-Assumptions!$D60/100)*(Assumptions!$C60/100/'Benchmark-equivalent supply'!P$3)</f>
        <v>0</v>
      </c>
      <c r="Q62" s="32">
        <f>'Seaborne Supply'!Q60*(1-Assumptions!$D60/100)*(Assumptions!$C60/100/'Benchmark-equivalent supply'!Q$3)</f>
        <v>0</v>
      </c>
      <c r="R62" s="32">
        <f>'Seaborne Supply'!R60*(1-Assumptions!$D60/100)*(Assumptions!$C60/100/'Benchmark-equivalent supply'!R$3)</f>
        <v>0</v>
      </c>
      <c r="S62" s="32">
        <f>'Seaborne Supply'!S60*(1-Assumptions!$D60/100)*(Assumptions!$C60/100/'Benchmark-equivalent supply'!S$3)</f>
        <v>0</v>
      </c>
      <c r="T62" s="32">
        <f>'Seaborne Supply'!T60*(1-Assumptions!$D60/100)*(Assumptions!$C60/100/'Benchmark-equivalent supply'!T$3)</f>
        <v>0</v>
      </c>
      <c r="U62" s="32">
        <f>'Seaborne Supply'!U60*(1-Assumptions!$D60/100)*(Assumptions!$C60/100/'Benchmark-equivalent supply'!U$3)</f>
        <v>0</v>
      </c>
      <c r="V62" s="32">
        <f>'Seaborne Supply'!V60*(1-Assumptions!$D60/100)*(Assumptions!$C60/100/'Benchmark-equivalent supply'!V$3)</f>
        <v>0</v>
      </c>
      <c r="W62" s="32">
        <f>'Seaborne Supply'!W60*(1-Assumptions!$D60/100)*(Assumptions!$C60/100/'Benchmark-equivalent supply'!W$3)</f>
        <v>0</v>
      </c>
      <c r="X62" s="32">
        <f>'Seaborne Supply'!X60*(1-Assumptions!$D60/100)*(Assumptions!$C60/100/'Benchmark-equivalent supply'!X$3)</f>
        <v>0</v>
      </c>
      <c r="Y62" s="32">
        <f>'Seaborne Supply'!Y60*(1-Assumptions!$D60/100)*(Assumptions!$C60/100/'Benchmark-equivalent supply'!Y$3)</f>
        <v>0</v>
      </c>
      <c r="Z62" s="32">
        <f>'Seaborne Supply'!Z60*(1-Assumptions!$D60/100)*(Assumptions!$C60/100/'Benchmark-equivalent supply'!Z$3)</f>
        <v>0</v>
      </c>
      <c r="AA62" s="32">
        <f>'Seaborne Supply'!AA60*(1-Assumptions!$D60/100)*(Assumptions!$C60/100/'Benchmark-equivalent supply'!AA$3)</f>
        <v>0</v>
      </c>
      <c r="AB62" s="32">
        <f>'Seaborne Supply'!AB60*(1-Assumptions!$D60/100)*(Assumptions!$C60/100/'Benchmark-equivalent supply'!AB$3)</f>
        <v>0</v>
      </c>
    </row>
    <row r="63" spans="1:28" x14ac:dyDescent="0.2">
      <c r="A63" s="7" t="s">
        <v>143</v>
      </c>
      <c r="C63" s="32">
        <f>'Seaborne Supply'!C61*(1-Assumptions!$D61/100)*(Assumptions!$C61/100/'Benchmark-equivalent supply'!C$3)</f>
        <v>0</v>
      </c>
      <c r="D63" s="32">
        <f>'Seaborne Supply'!D61*(1-Assumptions!$D61/100)*(Assumptions!$C61/100/'Benchmark-equivalent supply'!D$3)</f>
        <v>0</v>
      </c>
      <c r="E63" s="32">
        <f>'Seaborne Supply'!E61*(1-Assumptions!$D61/100)*(Assumptions!$C61/100/'Benchmark-equivalent supply'!E$3)</f>
        <v>0</v>
      </c>
      <c r="F63" s="32">
        <f>'Seaborne Supply'!F61*(1-Assumptions!$D61/100)*(Assumptions!$C61/100/'Benchmark-equivalent supply'!F$3)</f>
        <v>0</v>
      </c>
      <c r="G63" s="32">
        <f>'Seaborne Supply'!G61*(1-Assumptions!$D61/100)*(Assumptions!$C61/100/'Benchmark-equivalent supply'!G$3)</f>
        <v>0.71096774193548384</v>
      </c>
      <c r="H63" s="32">
        <f>'Seaborne Supply'!H61*(1-Assumptions!$D61/100)*(Assumptions!$C61/100/'Benchmark-equivalent supply'!H$3)</f>
        <v>0</v>
      </c>
      <c r="I63" s="32">
        <f>'Seaborne Supply'!I61*(1-Assumptions!$D61/100)*(Assumptions!$C61/100/'Benchmark-equivalent supply'!I$3)</f>
        <v>0</v>
      </c>
      <c r="J63" s="32">
        <f>'Seaborne Supply'!J61*(1-Assumptions!$D61/100)*(Assumptions!$C61/100/'Benchmark-equivalent supply'!J$3)</f>
        <v>0</v>
      </c>
      <c r="K63" s="32">
        <f>'Seaborne Supply'!K61*(1-Assumptions!$D61/100)*(Assumptions!$C61/100/'Benchmark-equivalent supply'!K$3)</f>
        <v>0</v>
      </c>
      <c r="L63" s="32">
        <f>'Seaborne Supply'!L61*(1-Assumptions!$D61/100)*(Assumptions!$C61/100/'Benchmark-equivalent supply'!L$3)</f>
        <v>0</v>
      </c>
      <c r="M63" s="32">
        <f>'Seaborne Supply'!M61*(1-Assumptions!$D61/100)*(Assumptions!$C61/100/'Benchmark-equivalent supply'!M$3)</f>
        <v>0.17774193548387096</v>
      </c>
      <c r="N63" s="32">
        <f>'Seaborne Supply'!N61*(1-Assumptions!$D61/100)*(Assumptions!$C61/100/'Benchmark-equivalent supply'!N$3)</f>
        <v>0.97758064516129017</v>
      </c>
      <c r="O63" s="32">
        <f>'Seaborne Supply'!O61*(1-Assumptions!$D61/100)*(Assumptions!$C61/100/'Benchmark-equivalent supply'!O$3)</f>
        <v>0</v>
      </c>
      <c r="P63" s="32">
        <f>'Seaborne Supply'!P61*(1-Assumptions!$D61/100)*(Assumptions!$C61/100/'Benchmark-equivalent supply'!P$3)</f>
        <v>0</v>
      </c>
      <c r="Q63" s="32">
        <f>'Seaborne Supply'!Q61*(1-Assumptions!$D61/100)*(Assumptions!$C61/100/'Benchmark-equivalent supply'!Q$3)</f>
        <v>0</v>
      </c>
      <c r="R63" s="32">
        <f>'Seaborne Supply'!R61*(1-Assumptions!$D61/100)*(Assumptions!$C61/100/'Benchmark-equivalent supply'!R$3)</f>
        <v>0.97758064516129017</v>
      </c>
      <c r="S63" s="32">
        <f>'Seaborne Supply'!S61*(1-Assumptions!$D61/100)*(Assumptions!$C61/100/'Benchmark-equivalent supply'!S$3)</f>
        <v>0.27098360655737702</v>
      </c>
      <c r="T63" s="32">
        <f>'Seaborne Supply'!T61*(1-Assumptions!$D61/100)*(Assumptions!$C61/100/'Benchmark-equivalent supply'!T$3)</f>
        <v>0</v>
      </c>
      <c r="U63" s="32">
        <f>'Seaborne Supply'!U61*(1-Assumptions!$D61/100)*(Assumptions!$C61/100/'Benchmark-equivalent supply'!U$3)</f>
        <v>0</v>
      </c>
      <c r="V63" s="32">
        <f>'Seaborne Supply'!V61*(1-Assumptions!$D61/100)*(Assumptions!$C61/100/'Benchmark-equivalent supply'!V$3)</f>
        <v>0</v>
      </c>
      <c r="W63" s="32">
        <f>'Seaborne Supply'!W61*(1-Assumptions!$D61/100)*(Assumptions!$C61/100/'Benchmark-equivalent supply'!W$3)</f>
        <v>0</v>
      </c>
      <c r="X63" s="32">
        <f>'Seaborne Supply'!X61*(1-Assumptions!$D61/100)*(Assumptions!$C61/100/'Benchmark-equivalent supply'!X$3)</f>
        <v>0</v>
      </c>
      <c r="Y63" s="32">
        <f>'Seaborne Supply'!Y61*(1-Assumptions!$D61/100)*(Assumptions!$C61/100/'Benchmark-equivalent supply'!Y$3)</f>
        <v>0</v>
      </c>
      <c r="Z63" s="32">
        <f>'Seaborne Supply'!Z61*(1-Assumptions!$D61/100)*(Assumptions!$C61/100/'Benchmark-equivalent supply'!Z$3)</f>
        <v>0</v>
      </c>
      <c r="AA63" s="32">
        <f>'Seaborne Supply'!AA61*(1-Assumptions!$D61/100)*(Assumptions!$C61/100/'Benchmark-equivalent supply'!AA$3)</f>
        <v>0</v>
      </c>
      <c r="AB63" s="32">
        <f>'Seaborne Supply'!AB61*(1-Assumptions!$D61/100)*(Assumptions!$C61/100/'Benchmark-equivalent supply'!AB$3)</f>
        <v>0</v>
      </c>
    </row>
    <row r="64" spans="1:28" x14ac:dyDescent="0.2">
      <c r="A64" s="7" t="s">
        <v>144</v>
      </c>
      <c r="C64" s="32">
        <f>'Seaborne Supply'!C62*(1-Assumptions!$D62/100)*(Assumptions!$C62/100/'Benchmark-equivalent supply'!C$3)</f>
        <v>0</v>
      </c>
      <c r="D64" s="32">
        <f>'Seaborne Supply'!D62*(1-Assumptions!$D62/100)*(Assumptions!$C62/100/'Benchmark-equivalent supply'!D$3)</f>
        <v>0</v>
      </c>
      <c r="E64" s="32">
        <f>'Seaborne Supply'!E62*(1-Assumptions!$D62/100)*(Assumptions!$C62/100/'Benchmark-equivalent supply'!E$3)</f>
        <v>0</v>
      </c>
      <c r="F64" s="32">
        <f>'Seaborne Supply'!F62*(1-Assumptions!$D62/100)*(Assumptions!$C62/100/'Benchmark-equivalent supply'!F$3)</f>
        <v>0</v>
      </c>
      <c r="G64" s="32">
        <f>'Seaborne Supply'!G62*(1-Assumptions!$D62/100)*(Assumptions!$C62/100/'Benchmark-equivalent supply'!G$3)</f>
        <v>0</v>
      </c>
      <c r="H64" s="32">
        <f>'Seaborne Supply'!H62*(1-Assumptions!$D62/100)*(Assumptions!$C62/100/'Benchmark-equivalent supply'!H$3)</f>
        <v>0</v>
      </c>
      <c r="I64" s="32">
        <f>'Seaborne Supply'!I62*(1-Assumptions!$D62/100)*(Assumptions!$C62/100/'Benchmark-equivalent supply'!I$3)</f>
        <v>0</v>
      </c>
      <c r="J64" s="32">
        <f>'Seaborne Supply'!J62*(1-Assumptions!$D62/100)*(Assumptions!$C62/100/'Benchmark-equivalent supply'!J$3)</f>
        <v>0</v>
      </c>
      <c r="K64" s="32">
        <f>'Seaborne Supply'!K62*(1-Assumptions!$D62/100)*(Assumptions!$C62/100/'Benchmark-equivalent supply'!K$3)</f>
        <v>0</v>
      </c>
      <c r="L64" s="32">
        <f>'Seaborne Supply'!L62*(1-Assumptions!$D62/100)*(Assumptions!$C62/100/'Benchmark-equivalent supply'!L$3)</f>
        <v>0</v>
      </c>
      <c r="M64" s="32">
        <f>'Seaborne Supply'!M62*(1-Assumptions!$D62/100)*(Assumptions!$C62/100/'Benchmark-equivalent supply'!M$3)</f>
        <v>0</v>
      </c>
      <c r="N64" s="32">
        <f>'Seaborne Supply'!N62*(1-Assumptions!$D62/100)*(Assumptions!$C62/100/'Benchmark-equivalent supply'!N$3)</f>
        <v>0</v>
      </c>
      <c r="O64" s="32">
        <f>'Seaborne Supply'!O62*(1-Assumptions!$D62/100)*(Assumptions!$C62/100/'Benchmark-equivalent supply'!O$3)</f>
        <v>0</v>
      </c>
      <c r="P64" s="32">
        <f>'Seaborne Supply'!P62*(1-Assumptions!$D62/100)*(Assumptions!$C62/100/'Benchmark-equivalent supply'!P$3)</f>
        <v>0</v>
      </c>
      <c r="Q64" s="32">
        <f>'Seaborne Supply'!Q62*(1-Assumptions!$D62/100)*(Assumptions!$C62/100/'Benchmark-equivalent supply'!Q$3)</f>
        <v>0</v>
      </c>
      <c r="R64" s="32">
        <f>'Seaborne Supply'!R62*(1-Assumptions!$D62/100)*(Assumptions!$C62/100/'Benchmark-equivalent supply'!R$3)</f>
        <v>0</v>
      </c>
      <c r="S64" s="32">
        <f>'Seaborne Supply'!S62*(1-Assumptions!$D62/100)*(Assumptions!$C62/100/'Benchmark-equivalent supply'!S$3)</f>
        <v>0.76380327868852471</v>
      </c>
      <c r="T64" s="32">
        <f>'Seaborne Supply'!T62*(1-Assumptions!$D62/100)*(Assumptions!$C62/100/'Benchmark-equivalent supply'!T$3)</f>
        <v>0.95475409836065583</v>
      </c>
      <c r="U64" s="32">
        <f>'Seaborne Supply'!U62*(1-Assumptions!$D62/100)*(Assumptions!$C62/100/'Benchmark-equivalent supply'!U$3)</f>
        <v>0.95475409836065583</v>
      </c>
      <c r="V64" s="32">
        <f>'Seaborne Supply'!V62*(1-Assumptions!$D62/100)*(Assumptions!$C62/100/'Benchmark-equivalent supply'!V$3)</f>
        <v>0.76380327868852471</v>
      </c>
      <c r="W64" s="32">
        <f>'Seaborne Supply'!W62*(1-Assumptions!$D62/100)*(Assumptions!$C62/100/'Benchmark-equivalent supply'!W$3)</f>
        <v>0</v>
      </c>
      <c r="X64" s="32">
        <f>'Seaborne Supply'!X62*(1-Assumptions!$D62/100)*(Assumptions!$C62/100/'Benchmark-equivalent supply'!X$3)</f>
        <v>0</v>
      </c>
      <c r="Y64" s="32">
        <f>'Seaborne Supply'!Y62*(1-Assumptions!$D62/100)*(Assumptions!$C62/100/'Benchmark-equivalent supply'!Y$3)</f>
        <v>0</v>
      </c>
      <c r="Z64" s="32">
        <f>'Seaborne Supply'!Z62*(1-Assumptions!$D62/100)*(Assumptions!$C62/100/'Benchmark-equivalent supply'!Z$3)</f>
        <v>0</v>
      </c>
      <c r="AA64" s="32">
        <f>'Seaborne Supply'!AA62*(1-Assumptions!$D62/100)*(Assumptions!$C62/100/'Benchmark-equivalent supply'!AA$3)</f>
        <v>0</v>
      </c>
      <c r="AB64" s="32">
        <f>'Seaborne Supply'!AB62*(1-Assumptions!$D62/100)*(Assumptions!$C62/100/'Benchmark-equivalent supply'!AB$3)</f>
        <v>0</v>
      </c>
    </row>
    <row r="65" spans="1:28" x14ac:dyDescent="0.2">
      <c r="A65" s="7" t="s">
        <v>145</v>
      </c>
      <c r="C65" s="32">
        <f>'Seaborne Supply'!C63*(1-Assumptions!$D63/100)*(Assumptions!$C63/100/'Benchmark-equivalent supply'!C$3)</f>
        <v>0</v>
      </c>
      <c r="D65" s="32">
        <f>'Seaborne Supply'!D63*(1-Assumptions!$D63/100)*(Assumptions!$C63/100/'Benchmark-equivalent supply'!D$3)</f>
        <v>0</v>
      </c>
      <c r="E65" s="32">
        <f>'Seaborne Supply'!E63*(1-Assumptions!$D63/100)*(Assumptions!$C63/100/'Benchmark-equivalent supply'!E$3)</f>
        <v>0</v>
      </c>
      <c r="F65" s="32">
        <f>'Seaborne Supply'!F63*(1-Assumptions!$D63/100)*(Assumptions!$C63/100/'Benchmark-equivalent supply'!F$3)</f>
        <v>0</v>
      </c>
      <c r="G65" s="32">
        <f>'Seaborne Supply'!G63*(1-Assumptions!$D63/100)*(Assumptions!$C63/100/'Benchmark-equivalent supply'!G$3)</f>
        <v>0</v>
      </c>
      <c r="H65" s="32">
        <f>'Seaborne Supply'!H63*(1-Assumptions!$D63/100)*(Assumptions!$C63/100/'Benchmark-equivalent supply'!H$3)</f>
        <v>0</v>
      </c>
      <c r="I65" s="32">
        <f>'Seaborne Supply'!I63*(1-Assumptions!$D63/100)*(Assumptions!$C63/100/'Benchmark-equivalent supply'!I$3)</f>
        <v>0</v>
      </c>
      <c r="J65" s="32">
        <f>'Seaborne Supply'!J63*(1-Assumptions!$D63/100)*(Assumptions!$C63/100/'Benchmark-equivalent supply'!J$3)</f>
        <v>0</v>
      </c>
      <c r="K65" s="32">
        <f>'Seaborne Supply'!K63*(1-Assumptions!$D63/100)*(Assumptions!$C63/100/'Benchmark-equivalent supply'!K$3)</f>
        <v>0</v>
      </c>
      <c r="L65" s="32">
        <f>'Seaborne Supply'!L63*(1-Assumptions!$D63/100)*(Assumptions!$C63/100/'Benchmark-equivalent supply'!L$3)</f>
        <v>0</v>
      </c>
      <c r="M65" s="32">
        <f>'Seaborne Supply'!M63*(1-Assumptions!$D63/100)*(Assumptions!$C63/100/'Benchmark-equivalent supply'!M$3)</f>
        <v>0</v>
      </c>
      <c r="N65" s="32">
        <f>'Seaborne Supply'!N63*(1-Assumptions!$D63/100)*(Assumptions!$C63/100/'Benchmark-equivalent supply'!N$3)</f>
        <v>0</v>
      </c>
      <c r="O65" s="32">
        <f>'Seaborne Supply'!O63*(1-Assumptions!$D63/100)*(Assumptions!$C63/100/'Benchmark-equivalent supply'!O$3)</f>
        <v>0</v>
      </c>
      <c r="P65" s="32">
        <f>'Seaborne Supply'!P63*(1-Assumptions!$D63/100)*(Assumptions!$C63/100/'Benchmark-equivalent supply'!P$3)</f>
        <v>0</v>
      </c>
      <c r="Q65" s="32">
        <f>'Seaborne Supply'!Q63*(1-Assumptions!$D63/100)*(Assumptions!$C63/100/'Benchmark-equivalent supply'!Q$3)</f>
        <v>0</v>
      </c>
      <c r="R65" s="32">
        <f>'Seaborne Supply'!R63*(1-Assumptions!$D63/100)*(Assumptions!$C63/100/'Benchmark-equivalent supply'!R$3)</f>
        <v>0</v>
      </c>
      <c r="S65" s="32">
        <f>'Seaborne Supply'!S63*(1-Assumptions!$D63/100)*(Assumptions!$C63/100/'Benchmark-equivalent supply'!S$3)</f>
        <v>0.29862295081967216</v>
      </c>
      <c r="T65" s="32">
        <f>'Seaborne Supply'!T63*(1-Assumptions!$D63/100)*(Assumptions!$C63/100/'Benchmark-equivalent supply'!T$3)</f>
        <v>1.1944918032786886</v>
      </c>
      <c r="U65" s="32">
        <f>'Seaborne Supply'!U63*(1-Assumptions!$D63/100)*(Assumptions!$C63/100/'Benchmark-equivalent supply'!U$3)</f>
        <v>1.1944918032786886</v>
      </c>
      <c r="V65" s="32">
        <f>'Seaborne Supply'!V63*(1-Assumptions!$D63/100)*(Assumptions!$C63/100/'Benchmark-equivalent supply'!V$3)</f>
        <v>0.8958688524590166</v>
      </c>
      <c r="W65" s="32">
        <f>'Seaborne Supply'!W63*(1-Assumptions!$D63/100)*(Assumptions!$C63/100/'Benchmark-equivalent supply'!W$3)</f>
        <v>0</v>
      </c>
      <c r="X65" s="32">
        <f>'Seaborne Supply'!X63*(1-Assumptions!$D63/100)*(Assumptions!$C63/100/'Benchmark-equivalent supply'!X$3)</f>
        <v>0</v>
      </c>
      <c r="Y65" s="32">
        <f>'Seaborne Supply'!Y63*(1-Assumptions!$D63/100)*(Assumptions!$C63/100/'Benchmark-equivalent supply'!Y$3)</f>
        <v>0</v>
      </c>
      <c r="Z65" s="32">
        <f>'Seaborne Supply'!Z63*(1-Assumptions!$D63/100)*(Assumptions!$C63/100/'Benchmark-equivalent supply'!Z$3)</f>
        <v>0</v>
      </c>
      <c r="AA65" s="32">
        <f>'Seaborne Supply'!AA63*(1-Assumptions!$D63/100)*(Assumptions!$C63/100/'Benchmark-equivalent supply'!AA$3)</f>
        <v>0</v>
      </c>
      <c r="AB65" s="32">
        <f>'Seaborne Supply'!AB63*(1-Assumptions!$D63/100)*(Assumptions!$C63/100/'Benchmark-equivalent supply'!AB$3)</f>
        <v>0</v>
      </c>
    </row>
    <row r="66" spans="1:28" x14ac:dyDescent="0.2">
      <c r="A66" s="7" t="s">
        <v>286</v>
      </c>
      <c r="C66" s="32">
        <f>'Seaborne Supply'!C64*(1-Assumptions!$D64/100)*(Assumptions!$C64/100/'Benchmark-equivalent supply'!C$3)</f>
        <v>15.672338709677422</v>
      </c>
      <c r="D66" s="32">
        <f>'Seaborne Supply'!D64*(1-Assumptions!$D64/100)*(Assumptions!$C64/100/'Benchmark-equivalent supply'!D$3)</f>
        <v>15.360967741935486</v>
      </c>
      <c r="E66" s="32">
        <f>'Seaborne Supply'!E64*(1-Assumptions!$D64/100)*(Assumptions!$C64/100/'Benchmark-equivalent supply'!E$3)</f>
        <v>15.568548387096776</v>
      </c>
      <c r="F66" s="32">
        <f>'Seaborne Supply'!F64*(1-Assumptions!$D64/100)*(Assumptions!$C64/100/'Benchmark-equivalent supply'!F$3)</f>
        <v>18.682258064516134</v>
      </c>
      <c r="G66" s="32">
        <f>'Seaborne Supply'!G64*(1-Assumptions!$D64/100)*(Assumptions!$C64/100/'Benchmark-equivalent supply'!G$3)</f>
        <v>24.183145161290327</v>
      </c>
      <c r="H66" s="32">
        <f>'Seaborne Supply'!H64*(1-Assumptions!$D64/100)*(Assumptions!$C64/100/'Benchmark-equivalent supply'!H$3)</f>
        <v>26.881693548387098</v>
      </c>
      <c r="I66" s="32">
        <f>'Seaborne Supply'!I64*(1-Assumptions!$D64/100)*(Assumptions!$C64/100/'Benchmark-equivalent supply'!I$3)</f>
        <v>26.362741935483871</v>
      </c>
      <c r="J66" s="32">
        <f>'Seaborne Supply'!J64*(1-Assumptions!$D64/100)*(Assumptions!$C64/100/'Benchmark-equivalent supply'!J$3)</f>
        <v>26.674112903225808</v>
      </c>
      <c r="K66" s="32">
        <f>'Seaborne Supply'!K64*(1-Assumptions!$D64/100)*(Assumptions!$C64/100/'Benchmark-equivalent supply'!K$3)</f>
        <v>23.352822580645164</v>
      </c>
      <c r="L66" s="32">
        <f>'Seaborne Supply'!L64*(1-Assumptions!$D64/100)*(Assumptions!$C64/100/'Benchmark-equivalent supply'!L$3)</f>
        <v>26.881693548387098</v>
      </c>
      <c r="M66" s="32">
        <f>'Seaborne Supply'!M64*(1-Assumptions!$D64/100)*(Assumptions!$C64/100/'Benchmark-equivalent supply'!M$3)</f>
        <v>24.07935483870968</v>
      </c>
      <c r="N66" s="32">
        <f>'Seaborne Supply'!N64*(1-Assumptions!$D64/100)*(Assumptions!$C64/100/'Benchmark-equivalent supply'!N$3)</f>
        <v>23.041451612903227</v>
      </c>
      <c r="O66" s="32">
        <f>'Seaborne Supply'!O64*(1-Assumptions!$D64/100)*(Assumptions!$C64/100/'Benchmark-equivalent supply'!O$3)</f>
        <v>25.947580645161295</v>
      </c>
      <c r="P66" s="32">
        <f>'Seaborne Supply'!P64*(1-Assumptions!$D64/100)*(Assumptions!$C64/100/'Benchmark-equivalent supply'!P$3)</f>
        <v>26.985483870967744</v>
      </c>
      <c r="Q66" s="32">
        <f>'Seaborne Supply'!Q64*(1-Assumptions!$D64/100)*(Assumptions!$C64/100/'Benchmark-equivalent supply'!Q$3)</f>
        <v>27.400645161290324</v>
      </c>
      <c r="R66" s="32">
        <f>'Seaborne Supply'!R64*(1-Assumptions!$D64/100)*(Assumptions!$C64/100/'Benchmark-equivalent supply'!R$3)</f>
        <v>27.296854838709685</v>
      </c>
      <c r="S66" s="32">
        <f>'Seaborne Supply'!S64*(1-Assumptions!$D64/100)*(Assumptions!$C64/100/'Benchmark-equivalent supply'!S$3)</f>
        <v>27.427868852459017</v>
      </c>
      <c r="T66" s="32">
        <f>'Seaborne Supply'!T64*(1-Assumptions!$D64/100)*(Assumptions!$C64/100/'Benchmark-equivalent supply'!T$3)</f>
        <v>27.427868852459017</v>
      </c>
      <c r="U66" s="32">
        <f>'Seaborne Supply'!U64*(1-Assumptions!$D64/100)*(Assumptions!$C64/100/'Benchmark-equivalent supply'!U$3)</f>
        <v>27.427868852459017</v>
      </c>
      <c r="V66" s="32">
        <f>'Seaborne Supply'!V64*(1-Assumptions!$D64/100)*(Assumptions!$C64/100/'Benchmark-equivalent supply'!V$3)</f>
        <v>27.427868852459017</v>
      </c>
      <c r="W66" s="32">
        <f>'Seaborne Supply'!W64*(1-Assumptions!$D64/100)*(Assumptions!$C64/100/'Benchmark-equivalent supply'!W$3)</f>
        <v>27.427868852459017</v>
      </c>
      <c r="X66" s="32">
        <f>'Seaborne Supply'!X64*(1-Assumptions!$D64/100)*(Assumptions!$C64/100/'Benchmark-equivalent supply'!X$3)</f>
        <v>27.427868852459017</v>
      </c>
      <c r="Y66" s="32">
        <f>'Seaborne Supply'!Y64*(1-Assumptions!$D64/100)*(Assumptions!$C64/100/'Benchmark-equivalent supply'!Y$3)</f>
        <v>27.427868852459017</v>
      </c>
      <c r="Z66" s="32">
        <f>'Seaborne Supply'!Z64*(1-Assumptions!$D64/100)*(Assumptions!$C64/100/'Benchmark-equivalent supply'!Z$3)</f>
        <v>27.427868852459017</v>
      </c>
      <c r="AA66" s="32">
        <f>'Seaborne Supply'!AA64*(1-Assumptions!$D64/100)*(Assumptions!$C64/100/'Benchmark-equivalent supply'!AA$3)</f>
        <v>27.427868852459017</v>
      </c>
      <c r="AB66" s="32">
        <f>'Seaborne Supply'!AB64*(1-Assumptions!$D64/100)*(Assumptions!$C64/100/'Benchmark-equivalent supply'!AB$3)</f>
        <v>27.427868852459017</v>
      </c>
    </row>
    <row r="67" spans="1:28" x14ac:dyDescent="0.2">
      <c r="A67" s="7" t="s">
        <v>289</v>
      </c>
      <c r="C67" s="32">
        <f>'Seaborne Supply'!C65*(1-Assumptions!$D65/100)*(Assumptions!$C65/100/'Benchmark-equivalent supply'!C$3)</f>
        <v>9.9612903225806448</v>
      </c>
      <c r="D67" s="32">
        <f>'Seaborne Supply'!D65*(1-Assumptions!$D65/100)*(Assumptions!$C65/100/'Benchmark-equivalent supply'!D$3)</f>
        <v>8.6663225806451596</v>
      </c>
      <c r="E67" s="32">
        <f>'Seaborne Supply'!E65*(1-Assumptions!$D65/100)*(Assumptions!$C65/100/'Benchmark-equivalent supply'!E$3)</f>
        <v>11.555096774193547</v>
      </c>
      <c r="F67" s="32">
        <f>'Seaborne Supply'!F65*(1-Assumptions!$D65/100)*(Assumptions!$C65/100/'Benchmark-equivalent supply'!F$3)</f>
        <v>12.351999999999999</v>
      </c>
      <c r="G67" s="32">
        <f>'Seaborne Supply'!G65*(1-Assumptions!$D65/100)*(Assumptions!$C65/100/'Benchmark-equivalent supply'!G$3)</f>
        <v>13.547354838709676</v>
      </c>
      <c r="H67" s="32">
        <f>'Seaborne Supply'!H65*(1-Assumptions!$D65/100)*(Assumptions!$C65/100/'Benchmark-equivalent supply'!H$3)</f>
        <v>13.447741935483871</v>
      </c>
      <c r="I67" s="32">
        <f>'Seaborne Supply'!I65*(1-Assumptions!$D65/100)*(Assumptions!$C65/100/'Benchmark-equivalent supply'!I$3)</f>
        <v>13.945806451612903</v>
      </c>
      <c r="J67" s="32">
        <f>'Seaborne Supply'!J65*(1-Assumptions!$D65/100)*(Assumptions!$C65/100/'Benchmark-equivalent supply'!J$3)</f>
        <v>13.945806451612903</v>
      </c>
      <c r="K67" s="32">
        <f>'Seaborne Supply'!K65*(1-Assumptions!$D65/100)*(Assumptions!$C65/100/'Benchmark-equivalent supply'!K$3)</f>
        <v>14.244645161290322</v>
      </c>
      <c r="L67" s="32">
        <f>'Seaborne Supply'!L65*(1-Assumptions!$D65/100)*(Assumptions!$C65/100/'Benchmark-equivalent supply'!L$3)</f>
        <v>14.344258064516128</v>
      </c>
      <c r="M67" s="32">
        <f>'Seaborne Supply'!M65*(1-Assumptions!$D65/100)*(Assumptions!$C65/100/'Benchmark-equivalent supply'!M$3)</f>
        <v>12.252387096774193</v>
      </c>
      <c r="N67" s="32">
        <f>'Seaborne Supply'!N65*(1-Assumptions!$D65/100)*(Assumptions!$C65/100/'Benchmark-equivalent supply'!N$3)</f>
        <v>13.248516129032257</v>
      </c>
      <c r="O67" s="32">
        <f>'Seaborne Supply'!O65*(1-Assumptions!$D65/100)*(Assumptions!$C65/100/'Benchmark-equivalent supply'!O$3)</f>
        <v>13.049290322580644</v>
      </c>
      <c r="P67" s="32">
        <f>'Seaborne Supply'!P65*(1-Assumptions!$D65/100)*(Assumptions!$C65/100/'Benchmark-equivalent supply'!P$3)</f>
        <v>11.953548387096774</v>
      </c>
      <c r="Q67" s="32">
        <f>'Seaborne Supply'!Q65*(1-Assumptions!$D65/100)*(Assumptions!$C65/100/'Benchmark-equivalent supply'!Q$3)</f>
        <v>12.152774193548387</v>
      </c>
      <c r="R67" s="32">
        <f>'Seaborne Supply'!R65*(1-Assumptions!$D65/100)*(Assumptions!$C65/100/'Benchmark-equivalent supply'!R$3)</f>
        <v>11.754322580645161</v>
      </c>
      <c r="S67" s="32">
        <f>'Seaborne Supply'!S65*(1-Assumptions!$D65/100)*(Assumptions!$C65/100/'Benchmark-equivalent supply'!S$3)</f>
        <v>12.453245901639345</v>
      </c>
      <c r="T67" s="32">
        <f>'Seaborne Supply'!T65*(1-Assumptions!$D65/100)*(Assumptions!$C65/100/'Benchmark-equivalent supply'!T$3)</f>
        <v>12.858229508196722</v>
      </c>
      <c r="U67" s="32">
        <f>'Seaborne Supply'!U65*(1-Assumptions!$D65/100)*(Assumptions!$C65/100/'Benchmark-equivalent supply'!U$3)</f>
        <v>13.161967213114755</v>
      </c>
      <c r="V67" s="32">
        <f>'Seaborne Supply'!V65*(1-Assumptions!$D65/100)*(Assumptions!$C65/100/'Benchmark-equivalent supply'!V$3)</f>
        <v>13.668196721311476</v>
      </c>
      <c r="W67" s="32">
        <f>'Seaborne Supply'!W65*(1-Assumptions!$D65/100)*(Assumptions!$C65/100/'Benchmark-equivalent supply'!W$3)</f>
        <v>14.174426229508198</v>
      </c>
      <c r="X67" s="32">
        <f>'Seaborne Supply'!X65*(1-Assumptions!$D65/100)*(Assumptions!$C65/100/'Benchmark-equivalent supply'!X$3)</f>
        <v>14.174426229508198</v>
      </c>
      <c r="Y67" s="32">
        <f>'Seaborne Supply'!Y65*(1-Assumptions!$D65/100)*(Assumptions!$C65/100/'Benchmark-equivalent supply'!Y$3)</f>
        <v>14.174426229508198</v>
      </c>
      <c r="Z67" s="32">
        <f>'Seaborne Supply'!Z65*(1-Assumptions!$D65/100)*(Assumptions!$C65/100/'Benchmark-equivalent supply'!Z$3)</f>
        <v>14.174426229508198</v>
      </c>
      <c r="AA67" s="32">
        <f>'Seaborne Supply'!AA65*(1-Assumptions!$D65/100)*(Assumptions!$C65/100/'Benchmark-equivalent supply'!AA$3)</f>
        <v>14.174426229508198</v>
      </c>
      <c r="AB67" s="32">
        <f>'Seaborne Supply'!AB65*(1-Assumptions!$D65/100)*(Assumptions!$C65/100/'Benchmark-equivalent supply'!AB$3)</f>
        <v>14.174426229508198</v>
      </c>
    </row>
    <row r="68" spans="1:28" x14ac:dyDescent="0.2">
      <c r="A68" s="7" t="s">
        <v>292</v>
      </c>
      <c r="C68" s="32">
        <f>'Seaborne Supply'!C66*(1-Assumptions!$D66/100)*(Assumptions!$C66/100/'Benchmark-equivalent supply'!C$3)</f>
        <v>0</v>
      </c>
      <c r="D68" s="32">
        <f>'Seaborne Supply'!D66*(1-Assumptions!$D66/100)*(Assumptions!$C66/100/'Benchmark-equivalent supply'!D$3)</f>
        <v>1.1068548387096775</v>
      </c>
      <c r="E68" s="32">
        <f>'Seaborne Supply'!E66*(1-Assumptions!$D66/100)*(Assumptions!$C66/100/'Benchmark-equivalent supply'!E$3)</f>
        <v>0.9223790322580645</v>
      </c>
      <c r="F68" s="32">
        <f>'Seaborne Supply'!F66*(1-Assumptions!$D66/100)*(Assumptions!$C66/100/'Benchmark-equivalent supply'!F$3)</f>
        <v>4.15070564516129</v>
      </c>
      <c r="G68" s="32">
        <f>'Seaborne Supply'!G66*(1-Assumptions!$D66/100)*(Assumptions!$C66/100/'Benchmark-equivalent supply'!G$3)</f>
        <v>4.519657258064516</v>
      </c>
      <c r="H68" s="32">
        <f>'Seaborne Supply'!H66*(1-Assumptions!$D66/100)*(Assumptions!$C66/100/'Benchmark-equivalent supply'!H$3)</f>
        <v>3.9662298387096775</v>
      </c>
      <c r="I68" s="32">
        <f>'Seaborne Supply'!I66*(1-Assumptions!$D66/100)*(Assumptions!$C66/100/'Benchmark-equivalent supply'!I$3)</f>
        <v>1.9369959677419357</v>
      </c>
      <c r="J68" s="32">
        <f>'Seaborne Supply'!J66*(1-Assumptions!$D66/100)*(Assumptions!$C66/100/'Benchmark-equivalent supply'!J$3)</f>
        <v>2.0292338709677424</v>
      </c>
      <c r="K68" s="32">
        <f>'Seaborne Supply'!K66*(1-Assumptions!$D66/100)*(Assumptions!$C66/100/'Benchmark-equivalent supply'!K$3)</f>
        <v>4.2429435483870961</v>
      </c>
      <c r="L68" s="32">
        <f>'Seaborne Supply'!L66*(1-Assumptions!$D66/100)*(Assumptions!$C66/100/'Benchmark-equivalent supply'!L$3)</f>
        <v>4.0584677419354849</v>
      </c>
      <c r="M68" s="32">
        <f>'Seaborne Supply'!M66*(1-Assumptions!$D66/100)*(Assumptions!$C66/100/'Benchmark-equivalent supply'!M$3)</f>
        <v>4.519657258064516</v>
      </c>
      <c r="N68" s="32">
        <f>'Seaborne Supply'!N66*(1-Assumptions!$D66/100)*(Assumptions!$C66/100/'Benchmark-equivalent supply'!N$3)</f>
        <v>4.611895161290323</v>
      </c>
      <c r="O68" s="32">
        <f>'Seaborne Supply'!O66*(1-Assumptions!$D66/100)*(Assumptions!$C66/100/'Benchmark-equivalent supply'!O$3)</f>
        <v>4.611895161290323</v>
      </c>
      <c r="P68" s="32">
        <f>'Seaborne Supply'!P66*(1-Assumptions!$D66/100)*(Assumptions!$C66/100/'Benchmark-equivalent supply'!P$3)</f>
        <v>4.611895161290323</v>
      </c>
      <c r="Q68" s="32">
        <f>'Seaborne Supply'!Q66*(1-Assumptions!$D66/100)*(Assumptions!$C66/100/'Benchmark-equivalent supply'!Q$3)</f>
        <v>3.505040322580645</v>
      </c>
      <c r="R68" s="32">
        <f>'Seaborne Supply'!R66*(1-Assumptions!$D66/100)*(Assumptions!$C66/100/'Benchmark-equivalent supply'!R$3)</f>
        <v>9.2237903225806459</v>
      </c>
      <c r="S68" s="32">
        <f>'Seaborne Supply'!S66*(1-Assumptions!$D66/100)*(Assumptions!$C66/100/'Benchmark-equivalent supply'!S$3)</f>
        <v>17.34375</v>
      </c>
      <c r="T68" s="32">
        <f>'Seaborne Supply'!T66*(1-Assumptions!$D66/100)*(Assumptions!$C66/100/'Benchmark-equivalent supply'!T$3)</f>
        <v>18.75</v>
      </c>
      <c r="U68" s="32">
        <f>'Seaborne Supply'!U66*(1-Assumptions!$D66/100)*(Assumptions!$C66/100/'Benchmark-equivalent supply'!U$3)</f>
        <v>18.75</v>
      </c>
      <c r="V68" s="32">
        <f>'Seaborne Supply'!V66*(1-Assumptions!$D66/100)*(Assumptions!$C66/100/'Benchmark-equivalent supply'!V$3)</f>
        <v>18.75</v>
      </c>
      <c r="W68" s="32">
        <f>'Seaborne Supply'!W66*(1-Assumptions!$D66/100)*(Assumptions!$C66/100/'Benchmark-equivalent supply'!W$3)</f>
        <v>18.75</v>
      </c>
      <c r="X68" s="32">
        <f>'Seaborne Supply'!X66*(1-Assumptions!$D66/100)*(Assumptions!$C66/100/'Benchmark-equivalent supply'!X$3)</f>
        <v>18.75</v>
      </c>
      <c r="Y68" s="32">
        <f>'Seaborne Supply'!Y66*(1-Assumptions!$D66/100)*(Assumptions!$C66/100/'Benchmark-equivalent supply'!Y$3)</f>
        <v>18.75</v>
      </c>
      <c r="Z68" s="32">
        <f>'Seaborne Supply'!Z66*(1-Assumptions!$D66/100)*(Assumptions!$C66/100/'Benchmark-equivalent supply'!Z$3)</f>
        <v>18.75</v>
      </c>
      <c r="AA68" s="32">
        <f>'Seaborne Supply'!AA66*(1-Assumptions!$D66/100)*(Assumptions!$C66/100/'Benchmark-equivalent supply'!AA$3)</f>
        <v>18.75</v>
      </c>
      <c r="AB68" s="32">
        <f>'Seaborne Supply'!AB66*(1-Assumptions!$D66/100)*(Assumptions!$C66/100/'Benchmark-equivalent supply'!AB$3)</f>
        <v>18.75</v>
      </c>
    </row>
    <row r="69" spans="1:28" x14ac:dyDescent="0.2">
      <c r="A69" s="7" t="s">
        <v>298</v>
      </c>
      <c r="C69" s="32">
        <f>'Seaborne Supply'!C67*(1-Assumptions!$D67/100)*(Assumptions!$C67/100/'Benchmark-equivalent supply'!C$3)</f>
        <v>0</v>
      </c>
      <c r="D69" s="32">
        <f>'Seaborne Supply'!D67*(1-Assumptions!$D67/100)*(Assumptions!$C67/100/'Benchmark-equivalent supply'!D$3)</f>
        <v>0</v>
      </c>
      <c r="E69" s="32">
        <f>'Seaborne Supply'!E67*(1-Assumptions!$D67/100)*(Assumptions!$C67/100/'Benchmark-equivalent supply'!E$3)</f>
        <v>0</v>
      </c>
      <c r="F69" s="32">
        <f>'Seaborne Supply'!F67*(1-Assumptions!$D67/100)*(Assumptions!$C67/100/'Benchmark-equivalent supply'!F$3)</f>
        <v>0</v>
      </c>
      <c r="G69" s="32">
        <f>'Seaborne Supply'!G67*(1-Assumptions!$D67/100)*(Assumptions!$C67/100/'Benchmark-equivalent supply'!G$3)</f>
        <v>0</v>
      </c>
      <c r="H69" s="32">
        <f>'Seaborne Supply'!H67*(1-Assumptions!$D67/100)*(Assumptions!$C67/100/'Benchmark-equivalent supply'!H$3)</f>
        <v>0.93354677419354837</v>
      </c>
      <c r="I69" s="32">
        <f>'Seaborne Supply'!I67*(1-Assumptions!$D67/100)*(Assumptions!$C67/100/'Benchmark-equivalent supply'!I$3)</f>
        <v>2.6969129032258063</v>
      </c>
      <c r="J69" s="32">
        <f>'Seaborne Supply'!J67*(1-Assumptions!$D67/100)*(Assumptions!$C67/100/'Benchmark-equivalent supply'!J$3)</f>
        <v>4.2528241935483866</v>
      </c>
      <c r="K69" s="32">
        <f>'Seaborne Supply'!K67*(1-Assumptions!$D67/100)*(Assumptions!$C67/100/'Benchmark-equivalent supply'!K$3)</f>
        <v>5.2900983870967728</v>
      </c>
      <c r="L69" s="32">
        <f>'Seaborne Supply'!L67*(1-Assumptions!$D67/100)*(Assumptions!$C67/100/'Benchmark-equivalent supply'!L$3)</f>
        <v>6.1199177419354838</v>
      </c>
      <c r="M69" s="32">
        <f>'Seaborne Supply'!M67*(1-Assumptions!$D67/100)*(Assumptions!$C67/100/'Benchmark-equivalent supply'!M$3)</f>
        <v>5.7050080645161287</v>
      </c>
      <c r="N69" s="32">
        <f>'Seaborne Supply'!N67*(1-Assumptions!$D67/100)*(Assumptions!$C67/100/'Benchmark-equivalent supply'!N$3)</f>
        <v>5.8087354838709668</v>
      </c>
      <c r="O69" s="32">
        <f>'Seaborne Supply'!O67*(1-Assumptions!$D67/100)*(Assumptions!$C67/100/'Benchmark-equivalent supply'!O$3)</f>
        <v>5.9124629032258067</v>
      </c>
      <c r="P69" s="32">
        <f>'Seaborne Supply'!P67*(1-Assumptions!$D67/100)*(Assumptions!$C67/100/'Benchmark-equivalent supply'!P$3)</f>
        <v>6.2236451612903227</v>
      </c>
      <c r="Q69" s="32">
        <f>'Seaborne Supply'!Q67*(1-Assumptions!$D67/100)*(Assumptions!$C67/100/'Benchmark-equivalent supply'!Q$3)</f>
        <v>6.3273725806451608</v>
      </c>
      <c r="R69" s="32">
        <f>'Seaborne Supply'!R67*(1-Assumptions!$D67/100)*(Assumptions!$C67/100/'Benchmark-equivalent supply'!R$3)</f>
        <v>6.2236451612903227</v>
      </c>
      <c r="S69" s="32">
        <f>'Seaborne Supply'!S67*(1-Assumptions!$D67/100)*(Assumptions!$C67/100/'Benchmark-equivalent supply'!S$3)</f>
        <v>6.3256721311475399</v>
      </c>
      <c r="T69" s="32">
        <f>'Seaborne Supply'!T67*(1-Assumptions!$D67/100)*(Assumptions!$C67/100/'Benchmark-equivalent supply'!T$3)</f>
        <v>6.3256721311475399</v>
      </c>
      <c r="U69" s="32">
        <f>'Seaborne Supply'!U67*(1-Assumptions!$D67/100)*(Assumptions!$C67/100/'Benchmark-equivalent supply'!U$3)</f>
        <v>6.3256721311475399</v>
      </c>
      <c r="V69" s="32">
        <f>'Seaborne Supply'!V67*(1-Assumptions!$D67/100)*(Assumptions!$C67/100/'Benchmark-equivalent supply'!V$3)</f>
        <v>8.4342295081967205</v>
      </c>
      <c r="W69" s="32">
        <f>'Seaborne Supply'!W67*(1-Assumptions!$D67/100)*(Assumptions!$C67/100/'Benchmark-equivalent supply'!W$3)</f>
        <v>14.75990163934426</v>
      </c>
      <c r="X69" s="32">
        <f>'Seaborne Supply'!X67*(1-Assumptions!$D67/100)*(Assumptions!$C67/100/'Benchmark-equivalent supply'!X$3)</f>
        <v>18.977016393442621</v>
      </c>
      <c r="Y69" s="32">
        <f>'Seaborne Supply'!Y67*(1-Assumptions!$D67/100)*(Assumptions!$C67/100/'Benchmark-equivalent supply'!Y$3)</f>
        <v>23.194131147540979</v>
      </c>
      <c r="Z69" s="32">
        <f>'Seaborne Supply'!Z67*(1-Assumptions!$D67/100)*(Assumptions!$C67/100/'Benchmark-equivalent supply'!Z$3)</f>
        <v>23.194131147540979</v>
      </c>
      <c r="AA69" s="32">
        <f>'Seaborne Supply'!AA67*(1-Assumptions!$D67/100)*(Assumptions!$C67/100/'Benchmark-equivalent supply'!AA$3)</f>
        <v>23.194131147540979</v>
      </c>
      <c r="AB69" s="32">
        <f>'Seaborne Supply'!AB67*(1-Assumptions!$D67/100)*(Assumptions!$C67/100/'Benchmark-equivalent supply'!AB$3)</f>
        <v>23.194131147540979</v>
      </c>
    </row>
    <row r="70" spans="1:28" x14ac:dyDescent="0.2">
      <c r="A70" s="7" t="s">
        <v>301</v>
      </c>
      <c r="C70" s="32">
        <f>'Seaborne Supply'!C68*(1-Assumptions!$D68/100)*(Assumptions!$C68/100/'Benchmark-equivalent supply'!C$3)</f>
        <v>2.8524193548387098</v>
      </c>
      <c r="D70" s="32">
        <f>'Seaborne Supply'!D68*(1-Assumptions!$D68/100)*(Assumptions!$C68/100/'Benchmark-equivalent supply'!D$3)</f>
        <v>2.8524193548387098</v>
      </c>
      <c r="E70" s="32">
        <f>'Seaborne Supply'!E68*(1-Assumptions!$D68/100)*(Assumptions!$C68/100/'Benchmark-equivalent supply'!E$3)</f>
        <v>2.8524193548387098</v>
      </c>
      <c r="F70" s="32">
        <f>'Seaborne Supply'!F68*(1-Assumptions!$D68/100)*(Assumptions!$C68/100/'Benchmark-equivalent supply'!F$3)</f>
        <v>2.8524193548387098</v>
      </c>
      <c r="G70" s="32">
        <f>'Seaborne Supply'!G68*(1-Assumptions!$D68/100)*(Assumptions!$C68/100/'Benchmark-equivalent supply'!G$3)</f>
        <v>1.1620967741935484</v>
      </c>
      <c r="H70" s="32">
        <f>'Seaborne Supply'!H68*(1-Assumptions!$D68/100)*(Assumptions!$C68/100/'Benchmark-equivalent supply'!H$3)</f>
        <v>0</v>
      </c>
      <c r="I70" s="32">
        <f>'Seaborne Supply'!I68*(1-Assumptions!$D68/100)*(Assumptions!$C68/100/'Benchmark-equivalent supply'!I$3)</f>
        <v>0</v>
      </c>
      <c r="J70" s="32">
        <f>'Seaborne Supply'!J68*(1-Assumptions!$D68/100)*(Assumptions!$C68/100/'Benchmark-equivalent supply'!J$3)</f>
        <v>0</v>
      </c>
      <c r="K70" s="32">
        <f>'Seaborne Supply'!K68*(1-Assumptions!$D68/100)*(Assumptions!$C68/100/'Benchmark-equivalent supply'!K$3)</f>
        <v>0</v>
      </c>
      <c r="L70" s="32">
        <f>'Seaborne Supply'!L68*(1-Assumptions!$D68/100)*(Assumptions!$C68/100/'Benchmark-equivalent supply'!L$3)</f>
        <v>0</v>
      </c>
      <c r="M70" s="32">
        <f>'Seaborne Supply'!M68*(1-Assumptions!$D68/100)*(Assumptions!$C68/100/'Benchmark-equivalent supply'!M$3)</f>
        <v>2.5354838709677416</v>
      </c>
      <c r="N70" s="32">
        <f>'Seaborne Supply'!N68*(1-Assumptions!$D68/100)*(Assumptions!$C68/100/'Benchmark-equivalent supply'!N$3)</f>
        <v>2.4298387096774192</v>
      </c>
      <c r="O70" s="32">
        <f>'Seaborne Supply'!O68*(1-Assumptions!$D68/100)*(Assumptions!$C68/100/'Benchmark-equivalent supply'!O$3)</f>
        <v>3.5919354838709676</v>
      </c>
      <c r="P70" s="32">
        <f>'Seaborne Supply'!P68*(1-Assumptions!$D68/100)*(Assumptions!$C68/100/'Benchmark-equivalent supply'!P$3)</f>
        <v>3.8032258064516129</v>
      </c>
      <c r="Q70" s="32">
        <f>'Seaborne Supply'!Q68*(1-Assumptions!$D68/100)*(Assumptions!$C68/100/'Benchmark-equivalent supply'!Q$3)</f>
        <v>4.225806451612903</v>
      </c>
      <c r="R70" s="32">
        <f>'Seaborne Supply'!R68*(1-Assumptions!$D68/100)*(Assumptions!$C68/100/'Benchmark-equivalent supply'!R$3)</f>
        <v>4.225806451612903</v>
      </c>
      <c r="S70" s="32">
        <f>'Seaborne Supply'!S68*(1-Assumptions!$D68/100)*(Assumptions!$C68/100/'Benchmark-equivalent supply'!S$3)</f>
        <v>4.5098360655737704</v>
      </c>
      <c r="T70" s="32">
        <f>'Seaborne Supply'!T68*(1-Assumptions!$D68/100)*(Assumptions!$C68/100/'Benchmark-equivalent supply'!T$3)</f>
        <v>4.831967213114754</v>
      </c>
      <c r="U70" s="32">
        <f>'Seaborne Supply'!U68*(1-Assumptions!$D68/100)*(Assumptions!$C68/100/'Benchmark-equivalent supply'!U$3)</f>
        <v>5.6909836065573769</v>
      </c>
      <c r="V70" s="32">
        <f>'Seaborne Supply'!V68*(1-Assumptions!$D68/100)*(Assumptions!$C68/100/'Benchmark-equivalent supply'!V$3)</f>
        <v>6.2278688524590162</v>
      </c>
      <c r="W70" s="32">
        <f>'Seaborne Supply'!W68*(1-Assumptions!$D68/100)*(Assumptions!$C68/100/'Benchmark-equivalent supply'!W$3)</f>
        <v>6.442622950819672</v>
      </c>
      <c r="X70" s="32">
        <f>'Seaborne Supply'!X68*(1-Assumptions!$D68/100)*(Assumptions!$C68/100/'Benchmark-equivalent supply'!X$3)</f>
        <v>6.442622950819672</v>
      </c>
      <c r="Y70" s="32">
        <f>'Seaborne Supply'!Y68*(1-Assumptions!$D68/100)*(Assumptions!$C68/100/'Benchmark-equivalent supply'!Y$3)</f>
        <v>6.442622950819672</v>
      </c>
      <c r="Z70" s="32">
        <f>'Seaborne Supply'!Z68*(1-Assumptions!$D68/100)*(Assumptions!$C68/100/'Benchmark-equivalent supply'!Z$3)</f>
        <v>6.442622950819672</v>
      </c>
      <c r="AA70" s="32">
        <f>'Seaborne Supply'!AA68*(1-Assumptions!$D68/100)*(Assumptions!$C68/100/'Benchmark-equivalent supply'!AA$3)</f>
        <v>6.442622950819672</v>
      </c>
      <c r="AB70" s="32">
        <f>'Seaborne Supply'!AB68*(1-Assumptions!$D68/100)*(Assumptions!$C68/100/'Benchmark-equivalent supply'!AB$3)</f>
        <v>6.442622950819672</v>
      </c>
    </row>
    <row r="71" spans="1:28" x14ac:dyDescent="0.2">
      <c r="A71" s="7" t="s">
        <v>303</v>
      </c>
      <c r="C71" s="32">
        <f>'Seaborne Supply'!C69*(1-Assumptions!$D69/100)*(Assumptions!$C69/100/'Benchmark-equivalent supply'!C$3)</f>
        <v>0</v>
      </c>
      <c r="D71" s="32">
        <f>'Seaborne Supply'!D69*(1-Assumptions!$D69/100)*(Assumptions!$C69/100/'Benchmark-equivalent supply'!D$3)</f>
        <v>0</v>
      </c>
      <c r="E71" s="32">
        <f>'Seaborne Supply'!E69*(1-Assumptions!$D69/100)*(Assumptions!$C69/100/'Benchmark-equivalent supply'!E$3)</f>
        <v>0</v>
      </c>
      <c r="F71" s="32">
        <f>'Seaborne Supply'!F69*(1-Assumptions!$D69/100)*(Assumptions!$C69/100/'Benchmark-equivalent supply'!F$3)</f>
        <v>0</v>
      </c>
      <c r="G71" s="32">
        <f>'Seaborne Supply'!G69*(1-Assumptions!$D69/100)*(Assumptions!$C69/100/'Benchmark-equivalent supply'!G$3)</f>
        <v>0.19001612903225809</v>
      </c>
      <c r="H71" s="32">
        <f>'Seaborne Supply'!H69*(1-Assumptions!$D69/100)*(Assumptions!$C69/100/'Benchmark-equivalent supply'!H$3)</f>
        <v>1.1400967741935484</v>
      </c>
      <c r="I71" s="32">
        <f>'Seaborne Supply'!I69*(1-Assumptions!$D69/100)*(Assumptions!$C69/100/'Benchmark-equivalent supply'!I$3)</f>
        <v>1.1400967741935484</v>
      </c>
      <c r="J71" s="32">
        <f>'Seaborne Supply'!J69*(1-Assumptions!$D69/100)*(Assumptions!$C69/100/'Benchmark-equivalent supply'!J$3)</f>
        <v>1.1400967741935484</v>
      </c>
      <c r="K71" s="32">
        <f>'Seaborne Supply'!K69*(1-Assumptions!$D69/100)*(Assumptions!$C69/100/'Benchmark-equivalent supply'!K$3)</f>
        <v>2.090177419354839</v>
      </c>
      <c r="L71" s="32">
        <f>'Seaborne Supply'!L69*(1-Assumptions!$D69/100)*(Assumptions!$C69/100/'Benchmark-equivalent supply'!L$3)</f>
        <v>1.9951693548387099</v>
      </c>
      <c r="M71" s="32">
        <f>'Seaborne Supply'!M69*(1-Assumptions!$D69/100)*(Assumptions!$C69/100/'Benchmark-equivalent supply'!M$3)</f>
        <v>2.2801935483870968</v>
      </c>
      <c r="N71" s="32">
        <f>'Seaborne Supply'!N69*(1-Assumptions!$D69/100)*(Assumptions!$C69/100/'Benchmark-equivalent supply'!N$3)</f>
        <v>2.3752016129032261</v>
      </c>
      <c r="O71" s="32">
        <f>'Seaborne Supply'!O69*(1-Assumptions!$D69/100)*(Assumptions!$C69/100/'Benchmark-equivalent supply'!O$3)</f>
        <v>2.4702096774193549</v>
      </c>
      <c r="P71" s="32">
        <f>'Seaborne Supply'!P69*(1-Assumptions!$D69/100)*(Assumptions!$C69/100/'Benchmark-equivalent supply'!P$3)</f>
        <v>2.9452500000000001</v>
      </c>
      <c r="Q71" s="32">
        <f>'Seaborne Supply'!Q69*(1-Assumptions!$D69/100)*(Assumptions!$C69/100/'Benchmark-equivalent supply'!Q$3)</f>
        <v>2.8502419354838713</v>
      </c>
      <c r="R71" s="32">
        <f>'Seaborne Supply'!R69*(1-Assumptions!$D69/100)*(Assumptions!$C69/100/'Benchmark-equivalent supply'!R$3)</f>
        <v>2.8502419354838713</v>
      </c>
      <c r="S71" s="32">
        <f>'Seaborne Supply'!S69*(1-Assumptions!$D69/100)*(Assumptions!$C69/100/'Benchmark-equivalent supply'!S$3)</f>
        <v>2.8969672131147544</v>
      </c>
      <c r="T71" s="32">
        <f>'Seaborne Supply'!T69*(1-Assumptions!$D69/100)*(Assumptions!$C69/100/'Benchmark-equivalent supply'!T$3)</f>
        <v>2.8969672131147544</v>
      </c>
      <c r="U71" s="32">
        <f>'Seaborne Supply'!U69*(1-Assumptions!$D69/100)*(Assumptions!$C69/100/'Benchmark-equivalent supply'!U$3)</f>
        <v>2.8969672131147544</v>
      </c>
      <c r="V71" s="32">
        <f>'Seaborne Supply'!V69*(1-Assumptions!$D69/100)*(Assumptions!$C69/100/'Benchmark-equivalent supply'!V$3)</f>
        <v>2.8969672131147544</v>
      </c>
      <c r="W71" s="32">
        <f>'Seaborne Supply'!W69*(1-Assumptions!$D69/100)*(Assumptions!$C69/100/'Benchmark-equivalent supply'!W$3)</f>
        <v>2.8969672131147544</v>
      </c>
      <c r="X71" s="32">
        <f>'Seaborne Supply'!X69*(1-Assumptions!$D69/100)*(Assumptions!$C69/100/'Benchmark-equivalent supply'!X$3)</f>
        <v>2.8969672131147544</v>
      </c>
      <c r="Y71" s="32">
        <f>'Seaborne Supply'!Y69*(1-Assumptions!$D69/100)*(Assumptions!$C69/100/'Benchmark-equivalent supply'!Y$3)</f>
        <v>2.8969672131147544</v>
      </c>
      <c r="Z71" s="32">
        <f>'Seaborne Supply'!Z69*(1-Assumptions!$D69/100)*(Assumptions!$C69/100/'Benchmark-equivalent supply'!Z$3)</f>
        <v>2.8969672131147544</v>
      </c>
      <c r="AA71" s="32">
        <f>'Seaborne Supply'!AA69*(1-Assumptions!$D69/100)*(Assumptions!$C69/100/'Benchmark-equivalent supply'!AA$3)</f>
        <v>2.8969672131147544</v>
      </c>
      <c r="AB71" s="32">
        <f>'Seaborne Supply'!AB69*(1-Assumptions!$D69/100)*(Assumptions!$C69/100/'Benchmark-equivalent supply'!AB$3)</f>
        <v>2.8969672131147544</v>
      </c>
    </row>
    <row r="72" spans="1:28" x14ac:dyDescent="0.2">
      <c r="A72" s="7" t="s">
        <v>305</v>
      </c>
      <c r="C72" s="32">
        <f>'Seaborne Supply'!C70*(1-Assumptions!$D70/100)*(Assumptions!$C70/100/'Benchmark-equivalent supply'!C$3)</f>
        <v>0</v>
      </c>
      <c r="D72" s="32">
        <f>'Seaborne Supply'!D70*(1-Assumptions!$D70/100)*(Assumptions!$C70/100/'Benchmark-equivalent supply'!D$3)</f>
        <v>0</v>
      </c>
      <c r="E72" s="32">
        <f>'Seaborne Supply'!E70*(1-Assumptions!$D70/100)*(Assumptions!$C70/100/'Benchmark-equivalent supply'!E$3)</f>
        <v>0</v>
      </c>
      <c r="F72" s="32">
        <f>'Seaborne Supply'!F70*(1-Assumptions!$D70/100)*(Assumptions!$C70/100/'Benchmark-equivalent supply'!F$3)</f>
        <v>0</v>
      </c>
      <c r="G72" s="32">
        <f>'Seaborne Supply'!G70*(1-Assumptions!$D70/100)*(Assumptions!$C70/100/'Benchmark-equivalent supply'!G$3)</f>
        <v>0</v>
      </c>
      <c r="H72" s="32">
        <f>'Seaborne Supply'!H70*(1-Assumptions!$D70/100)*(Assumptions!$C70/100/'Benchmark-equivalent supply'!H$3)</f>
        <v>0</v>
      </c>
      <c r="I72" s="32">
        <f>'Seaborne Supply'!I70*(1-Assumptions!$D70/100)*(Assumptions!$C70/100/'Benchmark-equivalent supply'!I$3)</f>
        <v>0</v>
      </c>
      <c r="J72" s="32">
        <f>'Seaborne Supply'!J70*(1-Assumptions!$D70/100)*(Assumptions!$C70/100/'Benchmark-equivalent supply'!J$3)</f>
        <v>0</v>
      </c>
      <c r="K72" s="32">
        <f>'Seaborne Supply'!K70*(1-Assumptions!$D70/100)*(Assumptions!$C70/100/'Benchmark-equivalent supply'!K$3)</f>
        <v>0</v>
      </c>
      <c r="L72" s="32">
        <f>'Seaborne Supply'!L70*(1-Assumptions!$D70/100)*(Assumptions!$C70/100/'Benchmark-equivalent supply'!L$3)</f>
        <v>1.95225</v>
      </c>
      <c r="M72" s="32">
        <f>'Seaborne Supply'!M70*(1-Assumptions!$D70/100)*(Assumptions!$C70/100/'Benchmark-equivalent supply'!M$3)</f>
        <v>2.1577500000000001</v>
      </c>
      <c r="N72" s="32">
        <f>'Seaborne Supply'!N70*(1-Assumptions!$D70/100)*(Assumptions!$C70/100/'Benchmark-equivalent supply'!N$3)</f>
        <v>2.2605</v>
      </c>
      <c r="O72" s="32">
        <f>'Seaborne Supply'!O70*(1-Assumptions!$D70/100)*(Assumptions!$C70/100/'Benchmark-equivalent supply'!O$3)</f>
        <v>2.3632499999999999</v>
      </c>
      <c r="P72" s="32">
        <f>'Seaborne Supply'!P70*(1-Assumptions!$D70/100)*(Assumptions!$C70/100/'Benchmark-equivalent supply'!P$3)</f>
        <v>2.3632499999999999</v>
      </c>
      <c r="Q72" s="32">
        <f>'Seaborne Supply'!Q70*(1-Assumptions!$D70/100)*(Assumptions!$C70/100/'Benchmark-equivalent supply'!Q$3)</f>
        <v>1.95225</v>
      </c>
      <c r="R72" s="32">
        <f>'Seaborne Supply'!R70*(1-Assumptions!$D70/100)*(Assumptions!$C70/100/'Benchmark-equivalent supply'!R$3)</f>
        <v>1.95225</v>
      </c>
      <c r="S72" s="32">
        <f>'Seaborne Supply'!S70*(1-Assumptions!$D70/100)*(Assumptions!$C70/100/'Benchmark-equivalent supply'!S$3)</f>
        <v>2.0886885245901636</v>
      </c>
      <c r="T72" s="32">
        <f>'Seaborne Supply'!T70*(1-Assumptions!$D70/100)*(Assumptions!$C70/100/'Benchmark-equivalent supply'!T$3)</f>
        <v>2.1931229508196721</v>
      </c>
      <c r="U72" s="32">
        <f>'Seaborne Supply'!U70*(1-Assumptions!$D70/100)*(Assumptions!$C70/100/'Benchmark-equivalent supply'!U$3)</f>
        <v>2.1931229508196721</v>
      </c>
      <c r="V72" s="32">
        <f>'Seaborne Supply'!V70*(1-Assumptions!$D70/100)*(Assumptions!$C70/100/'Benchmark-equivalent supply'!V$3)</f>
        <v>2.1931229508196721</v>
      </c>
      <c r="W72" s="32">
        <f>'Seaborne Supply'!W70*(1-Assumptions!$D70/100)*(Assumptions!$C70/100/'Benchmark-equivalent supply'!W$3)</f>
        <v>2.1931229508196721</v>
      </c>
      <c r="X72" s="32">
        <f>'Seaborne Supply'!X70*(1-Assumptions!$D70/100)*(Assumptions!$C70/100/'Benchmark-equivalent supply'!X$3)</f>
        <v>2.1931229508196721</v>
      </c>
      <c r="Y72" s="32">
        <f>'Seaborne Supply'!Y70*(1-Assumptions!$D70/100)*(Assumptions!$C70/100/'Benchmark-equivalent supply'!Y$3)</f>
        <v>2.1931229508196721</v>
      </c>
      <c r="Z72" s="32">
        <f>'Seaborne Supply'!Z70*(1-Assumptions!$D70/100)*(Assumptions!$C70/100/'Benchmark-equivalent supply'!Z$3)</f>
        <v>2.1931229508196721</v>
      </c>
      <c r="AA72" s="32">
        <f>'Seaborne Supply'!AA70*(1-Assumptions!$D70/100)*(Assumptions!$C70/100/'Benchmark-equivalent supply'!AA$3)</f>
        <v>2.1931229508196721</v>
      </c>
      <c r="AB72" s="32">
        <f>'Seaborne Supply'!AB70*(1-Assumptions!$D70/100)*(Assumptions!$C70/100/'Benchmark-equivalent supply'!AB$3)</f>
        <v>2.1931229508196721</v>
      </c>
    </row>
    <row r="73" spans="1:28" x14ac:dyDescent="0.2">
      <c r="A73" s="7" t="s">
        <v>309</v>
      </c>
      <c r="C73" s="32">
        <f>'Seaborne Supply'!C71*(1-Assumptions!$D71/100)*(Assumptions!$C71/100/'Benchmark-equivalent supply'!C$3)</f>
        <v>0.98024193548387095</v>
      </c>
      <c r="D73" s="32">
        <f>'Seaborne Supply'!D71*(1-Assumptions!$D71/100)*(Assumptions!$C71/100/'Benchmark-equivalent supply'!D$3)</f>
        <v>1.0782661290322582</v>
      </c>
      <c r="E73" s="32">
        <f>'Seaborne Supply'!E71*(1-Assumptions!$D71/100)*(Assumptions!$C71/100/'Benchmark-equivalent supply'!E$3)</f>
        <v>1.2743145161290321</v>
      </c>
      <c r="F73" s="32">
        <f>'Seaborne Supply'!F71*(1-Assumptions!$D71/100)*(Assumptions!$C71/100/'Benchmark-equivalent supply'!F$3)</f>
        <v>1.4703629032258065</v>
      </c>
      <c r="G73" s="32">
        <f>'Seaborne Supply'!G71*(1-Assumptions!$D71/100)*(Assumptions!$C71/100/'Benchmark-equivalent supply'!G$3)</f>
        <v>1.4703629032258065</v>
      </c>
      <c r="H73" s="32">
        <f>'Seaborne Supply'!H71*(1-Assumptions!$D71/100)*(Assumptions!$C71/100/'Benchmark-equivalent supply'!H$3)</f>
        <v>1.5683870967741937</v>
      </c>
      <c r="I73" s="32">
        <f>'Seaborne Supply'!I71*(1-Assumptions!$D71/100)*(Assumptions!$C71/100/'Benchmark-equivalent supply'!I$3)</f>
        <v>1.5683870967741937</v>
      </c>
      <c r="J73" s="32">
        <f>'Seaborne Supply'!J71*(1-Assumptions!$D71/100)*(Assumptions!$C71/100/'Benchmark-equivalent supply'!J$3)</f>
        <v>1.6664112903225807</v>
      </c>
      <c r="K73" s="32">
        <f>'Seaborne Supply'!K71*(1-Assumptions!$D71/100)*(Assumptions!$C71/100/'Benchmark-equivalent supply'!K$3)</f>
        <v>1.7644354838709677</v>
      </c>
      <c r="L73" s="32">
        <f>'Seaborne Supply'!L71*(1-Assumptions!$D71/100)*(Assumptions!$C71/100/'Benchmark-equivalent supply'!L$3)</f>
        <v>1.6664112903225807</v>
      </c>
      <c r="M73" s="32">
        <f>'Seaborne Supply'!M71*(1-Assumptions!$D71/100)*(Assumptions!$C71/100/'Benchmark-equivalent supply'!M$3)</f>
        <v>1.5683870967741937</v>
      </c>
      <c r="N73" s="32">
        <f>'Seaborne Supply'!N71*(1-Assumptions!$D71/100)*(Assumptions!$C71/100/'Benchmark-equivalent supply'!N$3)</f>
        <v>1.7644354838709677</v>
      </c>
      <c r="O73" s="32">
        <f>'Seaborne Supply'!O71*(1-Assumptions!$D71/100)*(Assumptions!$C71/100/'Benchmark-equivalent supply'!O$3)</f>
        <v>1.7644354838709677</v>
      </c>
      <c r="P73" s="32">
        <f>'Seaborne Supply'!P71*(1-Assumptions!$D71/100)*(Assumptions!$C71/100/'Benchmark-equivalent supply'!P$3)</f>
        <v>1.7644354838709677</v>
      </c>
      <c r="Q73" s="32">
        <f>'Seaborne Supply'!Q71*(1-Assumptions!$D71/100)*(Assumptions!$C71/100/'Benchmark-equivalent supply'!Q$3)</f>
        <v>1.7644354838709677</v>
      </c>
      <c r="R73" s="32">
        <f>'Seaborne Supply'!R71*(1-Assumptions!$D71/100)*(Assumptions!$C71/100/'Benchmark-equivalent supply'!R$3)</f>
        <v>1.7644354838709677</v>
      </c>
      <c r="S73" s="32">
        <f>'Seaborne Supply'!S71*(1-Assumptions!$D71/100)*(Assumptions!$C71/100/'Benchmark-equivalent supply'!S$3)</f>
        <v>1.7933606557377051</v>
      </c>
      <c r="T73" s="32">
        <f>'Seaborne Supply'!T71*(1-Assumptions!$D71/100)*(Assumptions!$C71/100/'Benchmark-equivalent supply'!T$3)</f>
        <v>1.7933606557377051</v>
      </c>
      <c r="U73" s="32">
        <f>'Seaborne Supply'!U71*(1-Assumptions!$D71/100)*(Assumptions!$C71/100/'Benchmark-equivalent supply'!U$3)</f>
        <v>1.7933606557377051</v>
      </c>
      <c r="V73" s="32">
        <f>'Seaborne Supply'!V71*(1-Assumptions!$D71/100)*(Assumptions!$C71/100/'Benchmark-equivalent supply'!V$3)</f>
        <v>1.7933606557377051</v>
      </c>
      <c r="W73" s="32">
        <f>'Seaborne Supply'!W71*(1-Assumptions!$D71/100)*(Assumptions!$C71/100/'Benchmark-equivalent supply'!W$3)</f>
        <v>1.7933606557377051</v>
      </c>
      <c r="X73" s="32">
        <f>'Seaborne Supply'!X71*(1-Assumptions!$D71/100)*(Assumptions!$C71/100/'Benchmark-equivalent supply'!X$3)</f>
        <v>1.7933606557377051</v>
      </c>
      <c r="Y73" s="32">
        <f>'Seaborne Supply'!Y71*(1-Assumptions!$D71/100)*(Assumptions!$C71/100/'Benchmark-equivalent supply'!Y$3)</f>
        <v>1.7933606557377051</v>
      </c>
      <c r="Z73" s="32">
        <f>'Seaborne Supply'!Z71*(1-Assumptions!$D71/100)*(Assumptions!$C71/100/'Benchmark-equivalent supply'!Z$3)</f>
        <v>1.7933606557377051</v>
      </c>
      <c r="AA73" s="32">
        <f>'Seaborne Supply'!AA71*(1-Assumptions!$D71/100)*(Assumptions!$C71/100/'Benchmark-equivalent supply'!AA$3)</f>
        <v>1.7933606557377051</v>
      </c>
      <c r="AB73" s="32">
        <f>'Seaborne Supply'!AB71*(1-Assumptions!$D71/100)*(Assumptions!$C71/100/'Benchmark-equivalent supply'!AB$3)</f>
        <v>1.7933606557377051</v>
      </c>
    </row>
    <row r="74" spans="1:28" x14ac:dyDescent="0.2">
      <c r="A74" s="7" t="s">
        <v>313</v>
      </c>
      <c r="C74" s="32">
        <f>'Seaborne Supply'!C72*(1-Assumptions!$D72/100)*(Assumptions!$C72/100/'Benchmark-equivalent supply'!C$3)</f>
        <v>1.4541935483870967</v>
      </c>
      <c r="D74" s="32">
        <f>'Seaborne Supply'!D72*(1-Assumptions!$D72/100)*(Assumptions!$C72/100/'Benchmark-equivalent supply'!D$3)</f>
        <v>1.5580645161290323</v>
      </c>
      <c r="E74" s="32">
        <f>'Seaborne Supply'!E72*(1-Assumptions!$D72/100)*(Assumptions!$C72/100/'Benchmark-equivalent supply'!E$3)</f>
        <v>1.8696774193548387</v>
      </c>
      <c r="F74" s="32">
        <f>'Seaborne Supply'!F72*(1-Assumptions!$D72/100)*(Assumptions!$C72/100/'Benchmark-equivalent supply'!F$3)</f>
        <v>2.0774193548387094</v>
      </c>
      <c r="G74" s="32">
        <f>'Seaborne Supply'!G72*(1-Assumptions!$D72/100)*(Assumptions!$C72/100/'Benchmark-equivalent supply'!G$3)</f>
        <v>2.2851612903225811</v>
      </c>
      <c r="H74" s="32">
        <f>'Seaborne Supply'!H72*(1-Assumptions!$D72/100)*(Assumptions!$C72/100/'Benchmark-equivalent supply'!H$3)</f>
        <v>1.8696774193548387</v>
      </c>
      <c r="I74" s="32">
        <f>'Seaborne Supply'!I72*(1-Assumptions!$D72/100)*(Assumptions!$C72/100/'Benchmark-equivalent supply'!I$3)</f>
        <v>0</v>
      </c>
      <c r="J74" s="32">
        <f>'Seaborne Supply'!J72*(1-Assumptions!$D72/100)*(Assumptions!$C72/100/'Benchmark-equivalent supply'!J$3)</f>
        <v>0</v>
      </c>
      <c r="K74" s="32">
        <f>'Seaborne Supply'!K72*(1-Assumptions!$D72/100)*(Assumptions!$C72/100/'Benchmark-equivalent supply'!K$3)</f>
        <v>0</v>
      </c>
      <c r="L74" s="32">
        <f>'Seaborne Supply'!L72*(1-Assumptions!$D72/100)*(Assumptions!$C72/100/'Benchmark-equivalent supply'!L$3)</f>
        <v>0</v>
      </c>
      <c r="M74" s="32">
        <f>'Seaborne Supply'!M72*(1-Assumptions!$D72/100)*(Assumptions!$C72/100/'Benchmark-equivalent supply'!M$3)</f>
        <v>0</v>
      </c>
      <c r="N74" s="32">
        <f>'Seaborne Supply'!N72*(1-Assumptions!$D72/100)*(Assumptions!$C72/100/'Benchmark-equivalent supply'!N$3)</f>
        <v>0</v>
      </c>
      <c r="O74" s="32">
        <f>'Seaborne Supply'!O72*(1-Assumptions!$D72/100)*(Assumptions!$C72/100/'Benchmark-equivalent supply'!O$3)</f>
        <v>0</v>
      </c>
      <c r="P74" s="32">
        <f>'Seaborne Supply'!P72*(1-Assumptions!$D72/100)*(Assumptions!$C72/100/'Benchmark-equivalent supply'!P$3)</f>
        <v>0</v>
      </c>
      <c r="Q74" s="32">
        <f>'Seaborne Supply'!Q72*(1-Assumptions!$D72/100)*(Assumptions!$C72/100/'Benchmark-equivalent supply'!Q$3)</f>
        <v>0</v>
      </c>
      <c r="R74" s="32">
        <f>'Seaborne Supply'!R72*(1-Assumptions!$D72/100)*(Assumptions!$C72/100/'Benchmark-equivalent supply'!R$3)</f>
        <v>0</v>
      </c>
      <c r="S74" s="32">
        <f>'Seaborne Supply'!S72*(1-Assumptions!$D72/100)*(Assumptions!$C72/100/'Benchmark-equivalent supply'!S$3)</f>
        <v>0</v>
      </c>
      <c r="T74" s="32">
        <f>'Seaborne Supply'!T72*(1-Assumptions!$D72/100)*(Assumptions!$C72/100/'Benchmark-equivalent supply'!T$3)</f>
        <v>0.52786885245901638</v>
      </c>
      <c r="U74" s="32">
        <f>'Seaborne Supply'!U72*(1-Assumptions!$D72/100)*(Assumptions!$C72/100/'Benchmark-equivalent supply'!U$3)</f>
        <v>2.1114754098360655</v>
      </c>
      <c r="V74" s="32">
        <f>'Seaborne Supply'!V72*(1-Assumptions!$D72/100)*(Assumptions!$C72/100/'Benchmark-equivalent supply'!V$3)</f>
        <v>2.639344262295082</v>
      </c>
      <c r="W74" s="32">
        <f>'Seaborne Supply'!W72*(1-Assumptions!$D72/100)*(Assumptions!$C72/100/'Benchmark-equivalent supply'!W$3)</f>
        <v>2.639344262295082</v>
      </c>
      <c r="X74" s="32">
        <f>'Seaborne Supply'!X72*(1-Assumptions!$D72/100)*(Assumptions!$C72/100/'Benchmark-equivalent supply'!X$3)</f>
        <v>3.1672131147540985</v>
      </c>
      <c r="Y74" s="32">
        <f>'Seaborne Supply'!Y72*(1-Assumptions!$D72/100)*(Assumptions!$C72/100/'Benchmark-equivalent supply'!Y$3)</f>
        <v>3.4839344262295082</v>
      </c>
      <c r="Z74" s="32">
        <f>'Seaborne Supply'!Z72*(1-Assumptions!$D72/100)*(Assumptions!$C72/100/'Benchmark-equivalent supply'!Z$3)</f>
        <v>3.4839344262295082</v>
      </c>
      <c r="AA74" s="32">
        <f>'Seaborne Supply'!AA72*(1-Assumptions!$D72/100)*(Assumptions!$C72/100/'Benchmark-equivalent supply'!AA$3)</f>
        <v>3.4839344262295082</v>
      </c>
      <c r="AB74" s="32">
        <f>'Seaborne Supply'!AB72*(1-Assumptions!$D72/100)*(Assumptions!$C72/100/'Benchmark-equivalent supply'!AB$3)</f>
        <v>3.4839344262295082</v>
      </c>
    </row>
    <row r="75" spans="1:28" x14ac:dyDescent="0.2">
      <c r="A75" s="7" t="s">
        <v>328</v>
      </c>
      <c r="C75" s="32">
        <f>'Seaborne Supply'!C73*(1-Assumptions!$D73/100)*(Assumptions!$C73/100/'Benchmark-equivalent supply'!C$3)</f>
        <v>183.94732258064505</v>
      </c>
      <c r="D75" s="32">
        <f>'Seaborne Supply'!D73*(1-Assumptions!$D73/100)*(Assumptions!$C73/100/'Benchmark-equivalent supply'!D$3)</f>
        <v>193.55316129032261</v>
      </c>
      <c r="E75" s="32">
        <f>'Seaborne Supply'!E73*(1-Assumptions!$D73/100)*(Assumptions!$C73/100/'Benchmark-equivalent supply'!E$3)</f>
        <v>182.51093548387095</v>
      </c>
      <c r="F75" s="32">
        <f>'Seaborne Supply'!F73*(1-Assumptions!$D73/100)*(Assumptions!$C73/100/'Benchmark-equivalent supply'!F$3)</f>
        <v>214.56032258064516</v>
      </c>
      <c r="G75" s="32">
        <f>'Seaborne Supply'!G73*(1-Assumptions!$D73/100)*(Assumptions!$C73/100/'Benchmark-equivalent supply'!G$3)</f>
        <v>211.05912903225718</v>
      </c>
      <c r="H75" s="32">
        <f>'Seaborne Supply'!H73*(1-Assumptions!$D73/100)*(Assumptions!$C73/100/'Benchmark-equivalent supply'!H$3)</f>
        <v>132.14761290322608</v>
      </c>
      <c r="I75" s="32">
        <f>'Seaborne Supply'!I73*(1-Assumptions!$D73/100)*(Assumptions!$C73/100/'Benchmark-equivalent supply'!I$3)</f>
        <v>155.4889032258063</v>
      </c>
      <c r="J75" s="32">
        <f>'Seaborne Supply'!J73*(1-Assumptions!$D73/100)*(Assumptions!$C73/100/'Benchmark-equivalent supply'!J$3)</f>
        <v>158.72077419354838</v>
      </c>
      <c r="K75" s="32">
        <f>'Seaborne Supply'!K73*(1-Assumptions!$D73/100)*(Assumptions!$C73/100/'Benchmark-equivalent supply'!K$3)</f>
        <v>158.81054838709687</v>
      </c>
      <c r="L75" s="32">
        <f>'Seaborne Supply'!L73*(1-Assumptions!$D73/100)*(Assumptions!$C73/100/'Benchmark-equivalent supply'!L$3)</f>
        <v>142.38187096774206</v>
      </c>
      <c r="M75" s="32">
        <f>'Seaborne Supply'!M73*(1-Assumptions!$D73/100)*(Assumptions!$C73/100/'Benchmark-equivalent supply'!M$3)</f>
        <v>157.55370967741936</v>
      </c>
      <c r="N75" s="32">
        <f>'Seaborne Supply'!N73*(1-Assumptions!$D73/100)*(Assumptions!$C73/100/'Benchmark-equivalent supply'!N$3)</f>
        <v>139.95796774193579</v>
      </c>
      <c r="O75" s="32">
        <f>'Seaborne Supply'!O73*(1-Assumptions!$D73/100)*(Assumptions!$C73/100/'Benchmark-equivalent supply'!O$3)</f>
        <v>84.926387096774732</v>
      </c>
      <c r="P75" s="32">
        <f>'Seaborne Supply'!P73*(1-Assumptions!$D73/100)*(Assumptions!$C73/100/'Benchmark-equivalent supply'!P$3)</f>
        <v>158.63100000000085</v>
      </c>
      <c r="Q75" s="32">
        <f>'Seaborne Supply'!Q73*(1-Assumptions!$D73/100)*(Assumptions!$C73/100/'Benchmark-equivalent supply'!Q$3)</f>
        <v>150.91041935483904</v>
      </c>
      <c r="R75" s="32">
        <f>'Seaborne Supply'!R73*(1-Assumptions!$D73/100)*(Assumptions!$C73/100/'Benchmark-equivalent supply'!R$3)</f>
        <v>139.68864516129065</v>
      </c>
      <c r="S75" s="32">
        <f>'Seaborne Supply'!S73*(1-Assumptions!$D73/100)*(Assumptions!$C73/100/'Benchmark-equivalent supply'!S$3)</f>
        <v>111.04626229508222</v>
      </c>
      <c r="T75" s="32">
        <f>'Seaborne Supply'!T73*(1-Assumptions!$D73/100)*(Assumptions!$C73/100/'Benchmark-equivalent supply'!T$3)</f>
        <v>80.022655737705378</v>
      </c>
      <c r="U75" s="32">
        <f>'Seaborne Supply'!U73*(1-Assumptions!$D73/100)*(Assumptions!$C73/100/'Benchmark-equivalent supply'!U$3)</f>
        <v>33.396000000000335</v>
      </c>
      <c r="V75" s="32">
        <f>'Seaborne Supply'!V73*(1-Assumptions!$D73/100)*(Assumptions!$C73/100/'Benchmark-equivalent supply'!V$3)</f>
        <v>28.103737704918199</v>
      </c>
      <c r="W75" s="32">
        <f>'Seaborne Supply'!W73*(1-Assumptions!$D73/100)*(Assumptions!$C73/100/'Benchmark-equivalent supply'!W$3)</f>
        <v>30.658622950820007</v>
      </c>
      <c r="X75" s="32">
        <f>'Seaborne Supply'!X73*(1-Assumptions!$D73/100)*(Assumptions!$C73/100/'Benchmark-equivalent supply'!X$3)</f>
        <v>45.805442622950864</v>
      </c>
      <c r="Y75" s="32">
        <f>'Seaborne Supply'!Y73*(1-Assumptions!$D73/100)*(Assumptions!$C73/100/'Benchmark-equivalent supply'!Y$3)</f>
        <v>54.017573770492056</v>
      </c>
      <c r="Z75" s="32">
        <f>'Seaborne Supply'!Z73*(1-Assumptions!$D73/100)*(Assumptions!$C73/100/'Benchmark-equivalent supply'!Z$3)</f>
        <v>66.518262295082053</v>
      </c>
      <c r="AA75" s="32">
        <f>'Seaborne Supply'!AA73*(1-Assumptions!$D73/100)*(Assumptions!$C73/100/'Benchmark-equivalent supply'!AA$3)</f>
        <v>73.72668852459033</v>
      </c>
      <c r="AB75" s="32">
        <f>'Seaborne Supply'!AB73*(1-Assumptions!$D73/100)*(Assumptions!$C73/100/'Benchmark-equivalent supply'!AB$3)</f>
        <v>74.365409836065794</v>
      </c>
    </row>
    <row r="76" spans="1:28" x14ac:dyDescent="0.2">
      <c r="A76" s="9" t="s">
        <v>135</v>
      </c>
      <c r="C76" s="33">
        <v>1123.5999999999999</v>
      </c>
      <c r="D76" s="33">
        <v>1148.3</v>
      </c>
      <c r="E76" s="33">
        <v>1214</v>
      </c>
      <c r="F76" s="33">
        <v>1344</v>
      </c>
      <c r="G76" s="33">
        <v>1488.5</v>
      </c>
      <c r="H76" s="33">
        <v>1512</v>
      </c>
      <c r="I76" s="33">
        <v>1591.6</v>
      </c>
      <c r="J76" s="33">
        <v>1646.3</v>
      </c>
      <c r="K76" s="33">
        <v>1667.3</v>
      </c>
      <c r="L76" s="33">
        <v>1603.9</v>
      </c>
      <c r="M76" s="33">
        <v>1656.2</v>
      </c>
      <c r="N76" s="33">
        <v>1659.4</v>
      </c>
      <c r="O76" s="33">
        <v>1586.8</v>
      </c>
      <c r="P76" s="33">
        <v>1712</v>
      </c>
      <c r="Q76" s="33">
        <v>1740.5</v>
      </c>
      <c r="R76" s="33">
        <v>1761</v>
      </c>
      <c r="S76" s="33">
        <v>1789</v>
      </c>
      <c r="T76" s="33">
        <v>1844</v>
      </c>
      <c r="U76" s="33">
        <v>1891</v>
      </c>
      <c r="V76" s="33">
        <v>1931</v>
      </c>
      <c r="W76" s="33">
        <v>1950</v>
      </c>
      <c r="X76" s="33">
        <v>1965</v>
      </c>
      <c r="Y76" s="33">
        <v>1975</v>
      </c>
      <c r="Z76" s="33">
        <v>1985</v>
      </c>
      <c r="AA76" s="33">
        <v>1985</v>
      </c>
      <c r="AB76" s="33">
        <v>1980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</sheetPr>
  <dimension ref="A1:BM100"/>
  <sheetViews>
    <sheetView zoomScale="50" zoomScaleNormal="75" workbookViewId="0">
      <pane xSplit="1" ySplit="2" topLeftCell="B3" activePane="bottomRight" state="frozen"/>
      <selection pane="topRight" activeCell="G1" sqref="G1"/>
      <selection pane="bottomLeft" activeCell="A3" sqref="A3"/>
      <selection pane="bottomRight" activeCell="K29" sqref="K29"/>
    </sheetView>
  </sheetViews>
  <sheetFormatPr baseColWidth="10" defaultColWidth="8.6640625" defaultRowHeight="14" x14ac:dyDescent="0.2"/>
  <cols>
    <col min="1" max="1" width="46" style="7" customWidth="1"/>
    <col min="2" max="2" width="3" style="7" customWidth="1"/>
    <col min="3" max="28" width="8" style="7" customWidth="1"/>
    <col min="29" max="16384" width="8.6640625" style="7"/>
  </cols>
  <sheetData>
    <row r="1" spans="1:60" x14ac:dyDescent="0.2">
      <c r="A1" s="9" t="s">
        <v>337</v>
      </c>
      <c r="B1" s="9"/>
    </row>
    <row r="2" spans="1:60" x14ac:dyDescent="0.2">
      <c r="A2" s="30" t="s">
        <v>0</v>
      </c>
      <c r="B2" s="30"/>
      <c r="C2" s="30">
        <v>2010</v>
      </c>
      <c r="D2" s="30">
        <v>2011</v>
      </c>
      <c r="E2" s="30">
        <v>2012</v>
      </c>
      <c r="F2" s="30">
        <v>2013</v>
      </c>
      <c r="G2" s="30">
        <v>2014</v>
      </c>
      <c r="H2" s="30">
        <v>2015</v>
      </c>
      <c r="I2" s="30">
        <v>2016</v>
      </c>
      <c r="J2" s="30">
        <v>2017</v>
      </c>
      <c r="K2" s="30">
        <v>2018</v>
      </c>
      <c r="L2" s="30">
        <v>2019</v>
      </c>
      <c r="M2" s="30">
        <v>2020</v>
      </c>
      <c r="N2" s="30">
        <v>2021</v>
      </c>
      <c r="O2" s="30">
        <v>2022</v>
      </c>
      <c r="P2" s="30">
        <v>2023</v>
      </c>
      <c r="Q2" s="30">
        <v>2024</v>
      </c>
      <c r="R2" s="30">
        <v>2025</v>
      </c>
      <c r="S2" s="30">
        <v>2026</v>
      </c>
      <c r="T2" s="30">
        <v>2027</v>
      </c>
      <c r="U2" s="30">
        <v>2028</v>
      </c>
      <c r="V2" s="30">
        <v>2029</v>
      </c>
      <c r="W2" s="30">
        <v>2030</v>
      </c>
      <c r="X2" s="30">
        <v>2031</v>
      </c>
      <c r="Y2" s="30">
        <v>2032</v>
      </c>
      <c r="Z2" s="30">
        <v>2033</v>
      </c>
      <c r="AA2" s="30">
        <v>2034</v>
      </c>
      <c r="AB2" s="30">
        <v>2035</v>
      </c>
    </row>
    <row r="3" spans="1:60" x14ac:dyDescent="0.2">
      <c r="A3" s="7" t="s">
        <v>64</v>
      </c>
      <c r="C3" s="32">
        <v>22</v>
      </c>
      <c r="D3" s="32">
        <v>28.5</v>
      </c>
      <c r="E3" s="32">
        <v>29.9</v>
      </c>
      <c r="F3" s="32">
        <v>29.4</v>
      </c>
      <c r="G3" s="32">
        <v>27</v>
      </c>
      <c r="H3" s="32">
        <v>18.7</v>
      </c>
      <c r="I3" s="32">
        <v>15.1</v>
      </c>
      <c r="J3" s="32">
        <v>14.6</v>
      </c>
      <c r="K3" s="32">
        <v>14.3</v>
      </c>
      <c r="L3" s="32">
        <v>14.2</v>
      </c>
      <c r="M3" s="32">
        <v>12.6</v>
      </c>
      <c r="N3" s="32">
        <v>14.8</v>
      </c>
      <c r="O3" s="32">
        <v>16.8</v>
      </c>
      <c r="P3" s="32">
        <v>17.8</v>
      </c>
      <c r="Q3" s="32">
        <v>18.2</v>
      </c>
      <c r="R3" s="32">
        <v>18.600000000000001</v>
      </c>
      <c r="S3" s="32">
        <v>19.7</v>
      </c>
      <c r="T3" s="32">
        <v>21</v>
      </c>
      <c r="U3" s="32">
        <v>20</v>
      </c>
      <c r="V3" s="32">
        <v>19</v>
      </c>
      <c r="W3" s="32">
        <v>18</v>
      </c>
      <c r="X3" s="32">
        <v>17.8</v>
      </c>
      <c r="Y3" s="32">
        <v>18.2</v>
      </c>
      <c r="Z3" s="32">
        <v>18.5</v>
      </c>
      <c r="AA3" s="32">
        <v>18.899999999999999</v>
      </c>
      <c r="AB3" s="32">
        <v>19.3</v>
      </c>
    </row>
    <row r="4" spans="1:60" x14ac:dyDescent="0.2">
      <c r="A4" s="7" t="s">
        <v>65</v>
      </c>
      <c r="C4" s="32">
        <v>20.5</v>
      </c>
      <c r="D4" s="32">
        <v>23.9</v>
      </c>
      <c r="E4" s="32">
        <v>21.8</v>
      </c>
      <c r="F4" s="32">
        <v>20.2</v>
      </c>
      <c r="G4" s="32">
        <v>19.5</v>
      </c>
      <c r="H4" s="32">
        <v>14.9</v>
      </c>
      <c r="I4" s="32">
        <v>13.7</v>
      </c>
      <c r="J4" s="32">
        <v>13.4</v>
      </c>
      <c r="K4" s="32">
        <v>13.3</v>
      </c>
      <c r="L4" s="32">
        <v>14.4</v>
      </c>
      <c r="M4" s="32">
        <v>15.4</v>
      </c>
      <c r="N4" s="32">
        <v>18.600000000000001</v>
      </c>
      <c r="O4" s="32">
        <v>21.7</v>
      </c>
      <c r="P4" s="32">
        <v>21.5</v>
      </c>
      <c r="Q4" s="32">
        <v>23</v>
      </c>
      <c r="R4" s="32">
        <v>23.5</v>
      </c>
      <c r="S4" s="32">
        <v>24.25</v>
      </c>
      <c r="T4" s="32">
        <v>23.6</v>
      </c>
      <c r="U4" s="32">
        <v>22.9</v>
      </c>
      <c r="V4" s="32">
        <v>22.2</v>
      </c>
      <c r="W4" s="32">
        <v>21.6</v>
      </c>
      <c r="X4" s="32">
        <v>22</v>
      </c>
      <c r="Y4" s="32">
        <v>22.5</v>
      </c>
      <c r="Z4" s="32">
        <v>22.9</v>
      </c>
      <c r="AA4" s="32">
        <v>23.4</v>
      </c>
      <c r="AB4" s="32">
        <v>23.8</v>
      </c>
    </row>
    <row r="5" spans="1:60" x14ac:dyDescent="0.2">
      <c r="A5" s="7" t="s">
        <v>66</v>
      </c>
      <c r="C5" s="32">
        <v>31</v>
      </c>
      <c r="D5" s="32">
        <v>44</v>
      </c>
      <c r="E5" s="32">
        <v>48</v>
      </c>
      <c r="F5" s="32">
        <v>44</v>
      </c>
      <c r="G5" s="32">
        <v>34</v>
      </c>
      <c r="H5" s="32">
        <v>27</v>
      </c>
      <c r="I5" s="32">
        <v>15.43</v>
      </c>
      <c r="J5" s="32">
        <v>12.82</v>
      </c>
      <c r="K5" s="32">
        <v>12.36</v>
      </c>
      <c r="L5" s="32">
        <v>13.11</v>
      </c>
      <c r="M5" s="32">
        <v>12.94</v>
      </c>
      <c r="N5" s="32">
        <v>13.93</v>
      </c>
      <c r="O5" s="32">
        <v>15.91</v>
      </c>
      <c r="P5" s="32">
        <v>17.54</v>
      </c>
      <c r="Q5" s="32">
        <v>18.239999999999998</v>
      </c>
      <c r="R5" s="32">
        <v>17.989999999999998</v>
      </c>
      <c r="S5" s="32">
        <v>18.739999999999998</v>
      </c>
      <c r="T5" s="32">
        <v>21.13</v>
      </c>
      <c r="U5" s="32">
        <v>20.5</v>
      </c>
      <c r="V5" s="32">
        <v>19.8</v>
      </c>
      <c r="W5" s="32">
        <v>19</v>
      </c>
      <c r="X5" s="32">
        <v>18.8</v>
      </c>
      <c r="Y5" s="32">
        <v>19.2</v>
      </c>
      <c r="Z5" s="32">
        <v>19.600000000000001</v>
      </c>
      <c r="AA5" s="32">
        <v>20</v>
      </c>
      <c r="AB5" s="32">
        <v>20.3</v>
      </c>
    </row>
    <row r="6" spans="1:60" x14ac:dyDescent="0.2">
      <c r="A6" s="7" t="s">
        <v>82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50</v>
      </c>
      <c r="Q6" s="32">
        <v>48</v>
      </c>
      <c r="R6" s="32">
        <v>46</v>
      </c>
      <c r="S6" s="32">
        <v>45</v>
      </c>
      <c r="T6" s="32">
        <v>45.9</v>
      </c>
      <c r="U6" s="32">
        <v>46.8</v>
      </c>
      <c r="V6" s="32">
        <v>47.8</v>
      </c>
      <c r="W6" s="32">
        <v>48.7</v>
      </c>
      <c r="X6" s="32">
        <v>49.7</v>
      </c>
      <c r="Y6" s="32">
        <v>50.7</v>
      </c>
      <c r="Z6" s="32">
        <v>51.7</v>
      </c>
      <c r="AA6" s="32">
        <v>52.7</v>
      </c>
      <c r="AB6" s="32">
        <v>53.8</v>
      </c>
    </row>
    <row r="7" spans="1:60" x14ac:dyDescent="0.2">
      <c r="A7" s="7" t="s">
        <v>69</v>
      </c>
      <c r="C7" s="32">
        <v>19</v>
      </c>
      <c r="D7" s="32">
        <v>21.5</v>
      </c>
      <c r="E7" s="32">
        <v>19.5</v>
      </c>
      <c r="F7" s="32">
        <v>17.5</v>
      </c>
      <c r="G7" s="32">
        <v>18</v>
      </c>
      <c r="H7" s="32">
        <v>12.7</v>
      </c>
      <c r="I7" s="32">
        <v>10.5</v>
      </c>
      <c r="J7" s="32">
        <v>11.5</v>
      </c>
      <c r="K7" s="32">
        <v>11.5</v>
      </c>
      <c r="L7" s="32">
        <v>11.8</v>
      </c>
      <c r="M7" s="32">
        <v>11.4</v>
      </c>
      <c r="N7" s="32">
        <v>13.7</v>
      </c>
      <c r="O7" s="32">
        <v>16</v>
      </c>
      <c r="P7" s="32">
        <v>18.5</v>
      </c>
      <c r="Q7" s="32">
        <v>18</v>
      </c>
      <c r="R7" s="32">
        <v>17.5</v>
      </c>
      <c r="S7" s="32">
        <v>19.2</v>
      </c>
      <c r="T7" s="32">
        <v>17.8</v>
      </c>
      <c r="U7" s="32">
        <v>16.8</v>
      </c>
      <c r="V7" s="32">
        <v>16</v>
      </c>
      <c r="W7" s="32">
        <v>15</v>
      </c>
      <c r="X7" s="32">
        <v>15.3</v>
      </c>
      <c r="Y7" s="32">
        <v>15.6</v>
      </c>
      <c r="Z7" s="32">
        <v>15.9</v>
      </c>
      <c r="AA7" s="32">
        <v>16.2</v>
      </c>
      <c r="AB7" s="32">
        <v>16.600000000000001</v>
      </c>
    </row>
    <row r="8" spans="1:60" x14ac:dyDescent="0.2">
      <c r="A8" s="7" t="s">
        <v>73</v>
      </c>
      <c r="C8" s="32">
        <v>25</v>
      </c>
      <c r="D8" s="32">
        <v>28</v>
      </c>
      <c r="E8" s="32">
        <v>25.5</v>
      </c>
      <c r="F8" s="32">
        <v>23.5</v>
      </c>
      <c r="G8" s="32">
        <v>24</v>
      </c>
      <c r="H8" s="32">
        <v>17.5</v>
      </c>
      <c r="I8" s="32">
        <v>16</v>
      </c>
      <c r="J8" s="32">
        <v>17</v>
      </c>
      <c r="K8" s="32">
        <v>15.8</v>
      </c>
      <c r="L8" s="32">
        <v>18.5</v>
      </c>
      <c r="M8" s="32">
        <v>18</v>
      </c>
      <c r="N8" s="32">
        <v>22</v>
      </c>
      <c r="O8" s="32">
        <v>25.5</v>
      </c>
      <c r="P8" s="32">
        <v>27.5</v>
      </c>
      <c r="Q8" s="32">
        <v>27</v>
      </c>
      <c r="R8" s="32">
        <v>26.5</v>
      </c>
      <c r="S8" s="32">
        <v>28.5</v>
      </c>
      <c r="T8" s="32">
        <v>27</v>
      </c>
      <c r="U8" s="32">
        <v>26</v>
      </c>
      <c r="V8" s="32">
        <v>25.5</v>
      </c>
      <c r="W8" s="32">
        <v>24.5</v>
      </c>
      <c r="X8" s="32">
        <v>25</v>
      </c>
      <c r="Y8" s="32">
        <v>25.5</v>
      </c>
      <c r="Z8" s="32">
        <v>26</v>
      </c>
      <c r="AA8" s="32">
        <v>26.5</v>
      </c>
      <c r="AB8" s="32">
        <v>27.1</v>
      </c>
    </row>
    <row r="9" spans="1:60" x14ac:dyDescent="0.2">
      <c r="A9" s="7" t="s">
        <v>74</v>
      </c>
      <c r="C9" s="32">
        <v>21.5</v>
      </c>
      <c r="D9" s="32">
        <v>24</v>
      </c>
      <c r="E9" s="32">
        <v>22</v>
      </c>
      <c r="F9" s="32">
        <v>20</v>
      </c>
      <c r="G9" s="32">
        <v>20.5</v>
      </c>
      <c r="H9" s="32">
        <v>12.5</v>
      </c>
      <c r="I9" s="32">
        <v>13</v>
      </c>
      <c r="J9" s="32">
        <v>14.5</v>
      </c>
      <c r="K9" s="32">
        <v>13.6</v>
      </c>
      <c r="L9" s="32">
        <v>16</v>
      </c>
      <c r="M9" s="32">
        <v>16.5</v>
      </c>
      <c r="N9" s="32">
        <v>20</v>
      </c>
      <c r="O9" s="32">
        <v>23.5</v>
      </c>
      <c r="P9" s="32">
        <v>25.5</v>
      </c>
      <c r="Q9" s="32">
        <v>25</v>
      </c>
      <c r="R9" s="32">
        <v>24.5</v>
      </c>
      <c r="S9" s="32">
        <v>26.5</v>
      </c>
      <c r="T9" s="32">
        <v>25</v>
      </c>
      <c r="U9" s="32">
        <v>24</v>
      </c>
      <c r="V9" s="32">
        <v>23.5</v>
      </c>
      <c r="W9" s="32">
        <v>22.5</v>
      </c>
      <c r="X9" s="32">
        <v>23</v>
      </c>
      <c r="Y9" s="32">
        <v>23.4</v>
      </c>
      <c r="Z9" s="32">
        <v>23.9</v>
      </c>
      <c r="AA9" s="32">
        <v>24.4</v>
      </c>
      <c r="AB9" s="32">
        <v>24.8</v>
      </c>
    </row>
    <row r="10" spans="1:60" ht="15" x14ac:dyDescent="0.2">
      <c r="A10" s="7" t="s">
        <v>83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27</v>
      </c>
      <c r="J10" s="32">
        <v>25</v>
      </c>
      <c r="K10" s="32">
        <v>24</v>
      </c>
      <c r="L10" s="32">
        <v>23</v>
      </c>
      <c r="M10" s="32">
        <v>22</v>
      </c>
      <c r="N10" s="32">
        <v>23</v>
      </c>
      <c r="O10" s="32">
        <v>24</v>
      </c>
      <c r="P10" s="32">
        <v>25</v>
      </c>
      <c r="Q10" s="32">
        <v>25</v>
      </c>
      <c r="R10" s="32">
        <v>26</v>
      </c>
      <c r="S10" s="32">
        <v>26</v>
      </c>
      <c r="T10" s="32">
        <v>25.5</v>
      </c>
      <c r="U10" s="32">
        <v>25</v>
      </c>
      <c r="V10" s="32">
        <v>24.5</v>
      </c>
      <c r="W10" s="32">
        <v>24</v>
      </c>
      <c r="X10" s="32">
        <v>24.5</v>
      </c>
      <c r="Y10" s="32">
        <v>25</v>
      </c>
      <c r="Z10" s="32">
        <v>25.5</v>
      </c>
      <c r="AA10" s="32">
        <v>26</v>
      </c>
      <c r="AB10" s="32">
        <v>26.5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</row>
    <row r="11" spans="1:60" ht="15" x14ac:dyDescent="0.2">
      <c r="A11" s="7" t="s">
        <v>84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55</v>
      </c>
      <c r="R11" s="32">
        <v>40.799999999999997</v>
      </c>
      <c r="S11" s="32">
        <v>35.299999999999997</v>
      </c>
      <c r="T11" s="32">
        <v>39.200000000000003</v>
      </c>
      <c r="U11" s="32">
        <v>38.5</v>
      </c>
      <c r="V11" s="32">
        <v>38</v>
      </c>
      <c r="W11" s="32">
        <v>38</v>
      </c>
      <c r="X11" s="32">
        <v>38.799999999999997</v>
      </c>
      <c r="Y11" s="32">
        <v>39.5</v>
      </c>
      <c r="Z11" s="32">
        <v>40.299999999999997</v>
      </c>
      <c r="AA11" s="32">
        <v>41.1</v>
      </c>
      <c r="AB11" s="32">
        <v>42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60" x14ac:dyDescent="0.2">
      <c r="A12" s="7" t="s">
        <v>85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31</v>
      </c>
      <c r="I12" s="32">
        <v>30</v>
      </c>
      <c r="J12" s="32">
        <v>30.5</v>
      </c>
      <c r="K12" s="32">
        <v>34</v>
      </c>
      <c r="L12" s="32">
        <v>34</v>
      </c>
      <c r="M12" s="32">
        <v>37.5</v>
      </c>
      <c r="N12" s="32">
        <v>53.5</v>
      </c>
      <c r="O12" s="32">
        <v>44.2</v>
      </c>
      <c r="P12" s="32">
        <v>47.9</v>
      </c>
      <c r="Q12" s="32">
        <v>48.6</v>
      </c>
      <c r="R12" s="32">
        <v>49.2</v>
      </c>
      <c r="S12" s="32">
        <v>53.6</v>
      </c>
      <c r="T12" s="32">
        <v>53.6</v>
      </c>
      <c r="U12" s="32">
        <v>54.7</v>
      </c>
      <c r="V12" s="32">
        <v>55.8</v>
      </c>
      <c r="W12" s="32">
        <v>56.9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</row>
    <row r="13" spans="1:60" ht="15" x14ac:dyDescent="0.2">
      <c r="A13" s="7" t="s">
        <v>81</v>
      </c>
      <c r="C13" s="32">
        <v>45</v>
      </c>
      <c r="D13" s="32">
        <v>43</v>
      </c>
      <c r="E13" s="32">
        <v>45</v>
      </c>
      <c r="F13" s="32">
        <v>48</v>
      </c>
      <c r="G13" s="32">
        <v>46</v>
      </c>
      <c r="H13" s="32">
        <v>35</v>
      </c>
      <c r="I13" s="32">
        <v>25.5</v>
      </c>
      <c r="J13" s="32">
        <v>26.5</v>
      </c>
      <c r="K13" s="32">
        <v>29</v>
      </c>
      <c r="L13" s="32">
        <v>28.5</v>
      </c>
      <c r="M13" s="32">
        <v>27.5</v>
      </c>
      <c r="N13" s="32">
        <v>29.5</v>
      </c>
      <c r="O13" s="32">
        <v>31.5</v>
      </c>
      <c r="P13" s="32">
        <v>31</v>
      </c>
      <c r="Q13" s="32">
        <v>29.5</v>
      </c>
      <c r="R13" s="32">
        <v>29</v>
      </c>
      <c r="S13" s="32">
        <v>29.6</v>
      </c>
      <c r="T13" s="32">
        <v>30.2</v>
      </c>
      <c r="U13" s="32">
        <v>30.8</v>
      </c>
      <c r="V13" s="32">
        <v>31.4</v>
      </c>
      <c r="W13" s="32">
        <v>32</v>
      </c>
      <c r="X13" s="32">
        <v>32.700000000000003</v>
      </c>
      <c r="Y13" s="32">
        <v>33.299999999999997</v>
      </c>
      <c r="Z13" s="32">
        <v>34</v>
      </c>
      <c r="AA13" s="32">
        <v>34.700000000000003</v>
      </c>
      <c r="AB13" s="32">
        <v>35.4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spans="1:60" ht="15" x14ac:dyDescent="0.2">
      <c r="A14" s="7" t="s">
        <v>86</v>
      </c>
      <c r="C14" s="32" t="s">
        <v>133</v>
      </c>
      <c r="D14" s="32" t="s">
        <v>133</v>
      </c>
      <c r="E14" s="32" t="s">
        <v>133</v>
      </c>
      <c r="F14" s="32">
        <v>0</v>
      </c>
      <c r="G14" s="32">
        <v>0</v>
      </c>
      <c r="H14" s="32">
        <v>105</v>
      </c>
      <c r="I14" s="32">
        <v>93</v>
      </c>
      <c r="J14" s="32">
        <v>83</v>
      </c>
      <c r="K14" s="32">
        <v>75</v>
      </c>
      <c r="L14" s="32">
        <v>69</v>
      </c>
      <c r="M14" s="32">
        <v>65</v>
      </c>
      <c r="N14" s="32">
        <v>66</v>
      </c>
      <c r="O14" s="32">
        <v>67</v>
      </c>
      <c r="P14" s="32">
        <v>69</v>
      </c>
      <c r="Q14" s="32">
        <v>74</v>
      </c>
      <c r="R14" s="32">
        <v>77</v>
      </c>
      <c r="S14" s="32">
        <v>79</v>
      </c>
      <c r="T14" s="32">
        <v>78</v>
      </c>
      <c r="U14" s="32">
        <v>76</v>
      </c>
      <c r="V14" s="32">
        <v>75</v>
      </c>
      <c r="W14" s="32">
        <v>76.5</v>
      </c>
      <c r="X14" s="32">
        <v>78</v>
      </c>
      <c r="Y14" s="32">
        <v>79.599999999999994</v>
      </c>
      <c r="Z14" s="32">
        <v>81.2</v>
      </c>
      <c r="AA14" s="32">
        <v>82.8</v>
      </c>
      <c r="AB14" s="32">
        <v>84.5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13"/>
    </row>
    <row r="15" spans="1:60" ht="15" x14ac:dyDescent="0.2">
      <c r="A15" s="7" t="s">
        <v>88</v>
      </c>
      <c r="C15" s="32">
        <v>24.5</v>
      </c>
      <c r="D15" s="32">
        <v>29</v>
      </c>
      <c r="E15" s="32">
        <v>32.5</v>
      </c>
      <c r="F15" s="32">
        <v>35.5</v>
      </c>
      <c r="G15" s="32">
        <v>33.5</v>
      </c>
      <c r="H15" s="32">
        <v>30.5</v>
      </c>
      <c r="I15" s="32">
        <v>26.7</v>
      </c>
      <c r="J15" s="32">
        <v>31.8</v>
      </c>
      <c r="K15" s="32">
        <v>31.8</v>
      </c>
      <c r="L15" s="32">
        <v>32.9</v>
      </c>
      <c r="M15" s="32">
        <v>31.2</v>
      </c>
      <c r="N15" s="32">
        <v>39</v>
      </c>
      <c r="O15" s="32">
        <v>40</v>
      </c>
      <c r="P15" s="32">
        <v>41</v>
      </c>
      <c r="Q15" s="32">
        <v>39</v>
      </c>
      <c r="R15" s="32">
        <v>40</v>
      </c>
      <c r="S15" s="32">
        <v>45</v>
      </c>
      <c r="T15" s="32">
        <v>42</v>
      </c>
      <c r="U15" s="32">
        <v>41</v>
      </c>
      <c r="V15" s="32">
        <v>40.5</v>
      </c>
      <c r="W15" s="32">
        <v>40.5</v>
      </c>
      <c r="X15" s="32">
        <v>41.3</v>
      </c>
      <c r="Y15" s="32">
        <v>42.1</v>
      </c>
      <c r="Z15" s="32">
        <v>43</v>
      </c>
      <c r="AA15" s="32">
        <v>43.8</v>
      </c>
      <c r="AB15" s="32">
        <v>44.7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60" ht="15" x14ac:dyDescent="0.2">
      <c r="A16" s="7" t="s">
        <v>93</v>
      </c>
      <c r="C16" s="32">
        <v>60</v>
      </c>
      <c r="D16" s="32">
        <v>74</v>
      </c>
      <c r="E16" s="32">
        <v>85</v>
      </c>
      <c r="F16" s="32">
        <v>92.5</v>
      </c>
      <c r="G16" s="32">
        <v>82.5</v>
      </c>
      <c r="H16" s="32" t="s">
        <v>133</v>
      </c>
      <c r="I16" s="32" t="s">
        <v>133</v>
      </c>
      <c r="J16" s="32" t="s">
        <v>133</v>
      </c>
      <c r="K16" s="32">
        <v>37.5</v>
      </c>
      <c r="L16" s="32">
        <v>37.700000000000003</v>
      </c>
      <c r="M16" s="32">
        <v>39.6</v>
      </c>
      <c r="N16" s="32">
        <v>41</v>
      </c>
      <c r="O16" s="32">
        <v>47</v>
      </c>
      <c r="P16" s="32">
        <v>55.9</v>
      </c>
      <c r="Q16" s="32">
        <v>56.2</v>
      </c>
      <c r="R16" s="32">
        <v>55.5</v>
      </c>
      <c r="S16" s="32">
        <v>56.6</v>
      </c>
      <c r="T16" s="32">
        <v>59</v>
      </c>
      <c r="U16" s="32">
        <v>58</v>
      </c>
      <c r="V16" s="32">
        <v>57</v>
      </c>
      <c r="W16" s="32">
        <v>58.1</v>
      </c>
      <c r="X16" s="32">
        <v>59.3</v>
      </c>
      <c r="Y16" s="32">
        <v>60.5</v>
      </c>
      <c r="Z16" s="32">
        <v>61.7</v>
      </c>
      <c r="AA16" s="32">
        <v>62.9</v>
      </c>
      <c r="AB16" s="32">
        <v>64.2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</row>
    <row r="17" spans="1:62" ht="15" x14ac:dyDescent="0.2">
      <c r="A17" s="7" t="s">
        <v>97</v>
      </c>
      <c r="C17" s="32">
        <v>54</v>
      </c>
      <c r="D17" s="32">
        <v>58</v>
      </c>
      <c r="E17" s="32">
        <v>62</v>
      </c>
      <c r="F17" s="32">
        <v>64</v>
      </c>
      <c r="G17" s="32">
        <v>62</v>
      </c>
      <c r="H17" s="32">
        <v>47.1</v>
      </c>
      <c r="I17" s="32">
        <v>43.6</v>
      </c>
      <c r="J17" s="32">
        <v>44.1</v>
      </c>
      <c r="K17" s="32">
        <v>52.7</v>
      </c>
      <c r="L17" s="32">
        <v>52.3</v>
      </c>
      <c r="M17" s="32">
        <v>52</v>
      </c>
      <c r="N17" s="32">
        <v>65.3</v>
      </c>
      <c r="O17" s="32">
        <v>69.3</v>
      </c>
      <c r="P17" s="32">
        <v>73.8</v>
      </c>
      <c r="Q17" s="32">
        <v>80</v>
      </c>
      <c r="R17" s="32">
        <v>84.3</v>
      </c>
      <c r="S17" s="32">
        <v>88</v>
      </c>
      <c r="T17" s="32">
        <v>86</v>
      </c>
      <c r="U17" s="32">
        <v>83</v>
      </c>
      <c r="V17" s="32">
        <v>80</v>
      </c>
      <c r="W17" s="32">
        <v>78</v>
      </c>
      <c r="X17" s="32">
        <v>79.599999999999994</v>
      </c>
      <c r="Y17" s="32">
        <v>81.2</v>
      </c>
      <c r="Z17" s="32">
        <v>82.8</v>
      </c>
      <c r="AA17" s="32">
        <v>84.4</v>
      </c>
      <c r="AB17" s="32">
        <v>86.1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spans="1:62" ht="15" x14ac:dyDescent="0.2">
      <c r="A18" s="7" t="s">
        <v>99</v>
      </c>
      <c r="C18" s="32">
        <v>27</v>
      </c>
      <c r="D18" s="32">
        <v>30</v>
      </c>
      <c r="E18" s="32">
        <v>31</v>
      </c>
      <c r="F18" s="32">
        <v>30</v>
      </c>
      <c r="G18" s="32">
        <v>30</v>
      </c>
      <c r="H18" s="32">
        <v>22</v>
      </c>
      <c r="I18" s="32">
        <v>20</v>
      </c>
      <c r="J18" s="32">
        <v>21.5</v>
      </c>
      <c r="K18" s="32">
        <v>20</v>
      </c>
      <c r="L18" s="32">
        <v>19.5</v>
      </c>
      <c r="M18" s="32">
        <v>17</v>
      </c>
      <c r="N18" s="32">
        <v>19.7</v>
      </c>
      <c r="O18" s="32">
        <v>22.1</v>
      </c>
      <c r="P18" s="32">
        <v>21.8</v>
      </c>
      <c r="Q18" s="32">
        <v>20.399999999999999</v>
      </c>
      <c r="R18" s="32">
        <v>21.5</v>
      </c>
      <c r="S18" s="32">
        <v>22.8</v>
      </c>
      <c r="T18" s="32">
        <v>22</v>
      </c>
      <c r="U18" s="32">
        <v>21</v>
      </c>
      <c r="V18" s="32">
        <v>21.4</v>
      </c>
      <c r="W18" s="32">
        <v>21.8</v>
      </c>
      <c r="X18" s="32">
        <v>22.3</v>
      </c>
      <c r="Y18" s="32">
        <v>22.7</v>
      </c>
      <c r="Z18" s="32">
        <v>23.2</v>
      </c>
      <c r="AA18" s="32">
        <v>23.7</v>
      </c>
      <c r="AB18" s="32">
        <v>24.1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 s="8"/>
      <c r="BF18" s="8"/>
      <c r="BG18" s="8"/>
      <c r="BH18" s="13"/>
    </row>
    <row r="19" spans="1:62" ht="15" x14ac:dyDescent="0.2">
      <c r="A19" s="7" t="s">
        <v>103</v>
      </c>
      <c r="C19" s="32" t="s">
        <v>133</v>
      </c>
      <c r="D19" s="32" t="s">
        <v>133</v>
      </c>
      <c r="E19" s="32" t="s">
        <v>133</v>
      </c>
      <c r="F19" s="32" t="s">
        <v>133</v>
      </c>
      <c r="G19" s="32">
        <v>65</v>
      </c>
      <c r="H19" s="32">
        <v>60</v>
      </c>
      <c r="I19" s="32">
        <v>28</v>
      </c>
      <c r="J19" s="32">
        <v>30</v>
      </c>
      <c r="K19" s="32">
        <v>30</v>
      </c>
      <c r="L19" s="32">
        <v>21</v>
      </c>
      <c r="M19" s="32">
        <v>21</v>
      </c>
      <c r="N19" s="32">
        <v>24</v>
      </c>
      <c r="O19" s="32">
        <v>35</v>
      </c>
      <c r="P19" s="32">
        <v>33</v>
      </c>
      <c r="Q19" s="32">
        <v>30</v>
      </c>
      <c r="R19" s="32">
        <v>32</v>
      </c>
      <c r="S19" s="32">
        <v>36</v>
      </c>
      <c r="T19" s="32">
        <v>36</v>
      </c>
      <c r="U19" s="32">
        <v>36</v>
      </c>
      <c r="V19" s="32">
        <v>36</v>
      </c>
      <c r="W19" s="32">
        <v>36.700000000000003</v>
      </c>
      <c r="X19" s="32">
        <v>37.5</v>
      </c>
      <c r="Y19" s="32">
        <v>38.200000000000003</v>
      </c>
      <c r="Z19" s="32">
        <v>39</v>
      </c>
      <c r="AA19" s="32">
        <v>39.700000000000003</v>
      </c>
      <c r="AB19" s="32">
        <v>40.5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13"/>
    </row>
    <row r="20" spans="1:62" ht="15" x14ac:dyDescent="0.2">
      <c r="A20" s="7" t="s">
        <v>105</v>
      </c>
      <c r="C20" s="32">
        <v>50</v>
      </c>
      <c r="D20" s="32">
        <v>55</v>
      </c>
      <c r="E20" s="32">
        <v>58</v>
      </c>
      <c r="F20" s="32">
        <v>57.1</v>
      </c>
      <c r="G20" s="32">
        <v>53.4</v>
      </c>
      <c r="H20" s="32">
        <v>46</v>
      </c>
      <c r="I20" s="32">
        <v>46</v>
      </c>
      <c r="J20" s="32" t="s">
        <v>133</v>
      </c>
      <c r="K20" s="32" t="s">
        <v>133</v>
      </c>
      <c r="L20" s="32" t="s">
        <v>133</v>
      </c>
      <c r="M20" s="32" t="s">
        <v>133</v>
      </c>
      <c r="N20" s="32">
        <v>50</v>
      </c>
      <c r="O20" s="32">
        <v>55</v>
      </c>
      <c r="P20" s="32">
        <v>53.9</v>
      </c>
      <c r="Q20" s="32">
        <v>51.2</v>
      </c>
      <c r="R20" s="32">
        <v>42.8</v>
      </c>
      <c r="S20" s="32">
        <v>48</v>
      </c>
      <c r="T20" s="32">
        <v>47</v>
      </c>
      <c r="U20" s="32">
        <v>44</v>
      </c>
      <c r="V20" s="32">
        <v>42</v>
      </c>
      <c r="W20" s="32">
        <v>42.8</v>
      </c>
      <c r="X20" s="32">
        <v>43.7</v>
      </c>
      <c r="Y20" s="32">
        <v>44.5</v>
      </c>
      <c r="Z20" s="32">
        <v>45.4</v>
      </c>
      <c r="AA20" s="32">
        <v>46.3</v>
      </c>
      <c r="AB20" s="32">
        <v>47.2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1:62" ht="15" x14ac:dyDescent="0.2">
      <c r="A21" s="7" t="s">
        <v>107</v>
      </c>
      <c r="C21" s="32">
        <v>45</v>
      </c>
      <c r="D21" s="32">
        <v>51</v>
      </c>
      <c r="E21" s="32">
        <v>54</v>
      </c>
      <c r="F21" s="32">
        <v>56</v>
      </c>
      <c r="G21" s="32">
        <v>53</v>
      </c>
      <c r="H21" s="32">
        <v>50</v>
      </c>
      <c r="I21" s="32">
        <v>47</v>
      </c>
      <c r="J21" s="32">
        <v>46</v>
      </c>
      <c r="K21" s="32">
        <v>45</v>
      </c>
      <c r="L21" s="32">
        <v>47</v>
      </c>
      <c r="M21" s="32">
        <v>46</v>
      </c>
      <c r="N21" s="32">
        <v>49</v>
      </c>
      <c r="O21" s="32">
        <v>54</v>
      </c>
      <c r="P21" s="32">
        <v>56</v>
      </c>
      <c r="Q21" s="32">
        <v>50</v>
      </c>
      <c r="R21" s="32">
        <v>48</v>
      </c>
      <c r="S21" s="32">
        <v>48</v>
      </c>
      <c r="T21" s="32">
        <v>47</v>
      </c>
      <c r="U21" s="32">
        <v>46</v>
      </c>
      <c r="V21" s="32">
        <v>46</v>
      </c>
      <c r="W21" s="32">
        <v>46.9</v>
      </c>
      <c r="X21" s="32">
        <v>47.8</v>
      </c>
      <c r="Y21" s="32">
        <v>48.8</v>
      </c>
      <c r="Z21" s="32">
        <v>49.8</v>
      </c>
      <c r="AA21" s="32">
        <v>50.8</v>
      </c>
      <c r="AB21" s="32">
        <v>51.8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62" ht="15" x14ac:dyDescent="0.2">
      <c r="A22" s="7" t="s">
        <v>110</v>
      </c>
      <c r="C22" s="32">
        <v>40</v>
      </c>
      <c r="D22" s="32">
        <v>45</v>
      </c>
      <c r="E22" s="32">
        <v>46</v>
      </c>
      <c r="F22" s="32">
        <v>44</v>
      </c>
      <c r="G22" s="32">
        <v>43</v>
      </c>
      <c r="H22" s="32">
        <v>34</v>
      </c>
      <c r="I22" s="32">
        <v>25</v>
      </c>
      <c r="J22" s="32">
        <v>30</v>
      </c>
      <c r="K22" s="32">
        <v>32</v>
      </c>
      <c r="L22" s="32">
        <v>33</v>
      </c>
      <c r="M22" s="32">
        <v>31.5</v>
      </c>
      <c r="N22" s="32">
        <v>39</v>
      </c>
      <c r="O22" s="32">
        <v>46.5</v>
      </c>
      <c r="P22" s="32">
        <v>51</v>
      </c>
      <c r="Q22" s="32">
        <v>52</v>
      </c>
      <c r="R22" s="32">
        <v>50.5</v>
      </c>
      <c r="S22" s="32">
        <v>49</v>
      </c>
      <c r="T22" s="32">
        <v>47</v>
      </c>
      <c r="U22" s="32">
        <v>45</v>
      </c>
      <c r="V22" s="32">
        <v>43.5</v>
      </c>
      <c r="W22" s="32">
        <v>43</v>
      </c>
      <c r="X22" s="32">
        <v>43.9</v>
      </c>
      <c r="Y22" s="32">
        <v>44.7</v>
      </c>
      <c r="Z22" s="32">
        <v>45.6</v>
      </c>
      <c r="AA22" s="32">
        <v>46.5</v>
      </c>
      <c r="AB22" s="32">
        <v>47.5</v>
      </c>
      <c r="AE22" s="8"/>
      <c r="AF22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62" x14ac:dyDescent="0.2">
      <c r="A23" s="7" t="s">
        <v>115</v>
      </c>
      <c r="C23" s="32">
        <v>24</v>
      </c>
      <c r="D23" s="32">
        <v>37.5</v>
      </c>
      <c r="E23" s="32">
        <v>35.5</v>
      </c>
      <c r="F23" s="32">
        <v>35.299999999999997</v>
      </c>
      <c r="G23" s="32">
        <v>30</v>
      </c>
      <c r="H23" s="32">
        <v>20.8</v>
      </c>
      <c r="I23" s="32">
        <v>20.3</v>
      </c>
      <c r="J23" s="32">
        <v>22</v>
      </c>
      <c r="K23" s="32">
        <v>25</v>
      </c>
      <c r="L23" s="32">
        <v>25.7</v>
      </c>
      <c r="M23" s="32">
        <v>37.5</v>
      </c>
      <c r="N23" s="32">
        <v>38.299999999999997</v>
      </c>
      <c r="O23" s="32">
        <v>42.3</v>
      </c>
      <c r="P23" s="32">
        <v>42.6</v>
      </c>
      <c r="Q23" s="32">
        <v>41</v>
      </c>
      <c r="R23" s="32">
        <v>45.1</v>
      </c>
      <c r="S23" s="32">
        <v>49</v>
      </c>
      <c r="T23" s="32">
        <v>46</v>
      </c>
      <c r="U23" s="32">
        <v>44</v>
      </c>
      <c r="V23" s="32">
        <v>43</v>
      </c>
      <c r="W23" s="32">
        <v>43.9</v>
      </c>
      <c r="X23" s="32">
        <v>44.8</v>
      </c>
      <c r="Y23" s="32">
        <v>45.7</v>
      </c>
      <c r="Z23" s="32">
        <v>46.6</v>
      </c>
      <c r="AA23" s="32">
        <v>47.5</v>
      </c>
      <c r="AB23" s="32">
        <v>48.5</v>
      </c>
    </row>
    <row r="24" spans="1:62" ht="15" x14ac:dyDescent="0.2">
      <c r="A24" s="7" t="s">
        <v>153</v>
      </c>
      <c r="C24" s="32">
        <v>49</v>
      </c>
      <c r="D24" s="32">
        <v>61</v>
      </c>
      <c r="E24" s="32">
        <v>70.5</v>
      </c>
      <c r="F24" s="32">
        <v>71</v>
      </c>
      <c r="G24" s="32">
        <v>59</v>
      </c>
      <c r="H24" s="32">
        <v>42</v>
      </c>
      <c r="I24" s="32">
        <v>37</v>
      </c>
      <c r="J24" s="32">
        <v>42</v>
      </c>
      <c r="K24" s="32">
        <v>53</v>
      </c>
      <c r="L24" s="32">
        <v>58</v>
      </c>
      <c r="M24" s="32">
        <v>52</v>
      </c>
      <c r="N24" s="32">
        <v>67</v>
      </c>
      <c r="O24" s="32">
        <v>100</v>
      </c>
      <c r="P24" s="32">
        <v>96</v>
      </c>
      <c r="Q24" s="32">
        <v>85</v>
      </c>
      <c r="R24" s="32">
        <v>74</v>
      </c>
      <c r="S24" s="32">
        <v>82</v>
      </c>
      <c r="T24" s="32">
        <v>72</v>
      </c>
      <c r="U24" s="32">
        <v>65</v>
      </c>
      <c r="V24" s="32">
        <v>61</v>
      </c>
      <c r="W24" s="32">
        <v>59</v>
      </c>
      <c r="X24" s="32">
        <v>60.2</v>
      </c>
      <c r="Y24" s="32">
        <v>61.4</v>
      </c>
      <c r="Z24" s="32">
        <v>62.6</v>
      </c>
      <c r="AA24" s="32">
        <v>63.9</v>
      </c>
      <c r="AB24" s="32">
        <v>65.099999999999994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62" ht="15" x14ac:dyDescent="0.2">
      <c r="A25" s="7" t="s">
        <v>154</v>
      </c>
      <c r="C25" s="32">
        <v>53</v>
      </c>
      <c r="D25" s="32">
        <v>64</v>
      </c>
      <c r="E25" s="32">
        <v>72</v>
      </c>
      <c r="F25" s="32">
        <v>73</v>
      </c>
      <c r="G25" s="32">
        <v>62</v>
      </c>
      <c r="H25" s="32">
        <v>47</v>
      </c>
      <c r="I25" s="32">
        <v>42</v>
      </c>
      <c r="J25" s="32">
        <v>46</v>
      </c>
      <c r="K25" s="32">
        <v>52</v>
      </c>
      <c r="L25" s="32">
        <v>57</v>
      </c>
      <c r="M25" s="32">
        <v>54</v>
      </c>
      <c r="N25" s="32">
        <v>69</v>
      </c>
      <c r="O25" s="32">
        <v>95</v>
      </c>
      <c r="P25" s="32">
        <v>87</v>
      </c>
      <c r="Q25" s="32">
        <v>73</v>
      </c>
      <c r="R25" s="32">
        <v>70</v>
      </c>
      <c r="S25" s="32">
        <v>73</v>
      </c>
      <c r="T25" s="32">
        <v>66</v>
      </c>
      <c r="U25" s="32">
        <v>60</v>
      </c>
      <c r="V25" s="32">
        <v>57</v>
      </c>
      <c r="W25" s="32">
        <v>55</v>
      </c>
      <c r="X25" s="32">
        <v>56.1</v>
      </c>
      <c r="Y25" s="32">
        <v>57.2</v>
      </c>
      <c r="Z25" s="32">
        <v>58.4</v>
      </c>
      <c r="AA25" s="32">
        <v>59.5</v>
      </c>
      <c r="AB25" s="32">
        <v>60.7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</row>
    <row r="26" spans="1:62" ht="15" x14ac:dyDescent="0.2">
      <c r="A26" s="7" t="s">
        <v>169</v>
      </c>
      <c r="C26" s="32">
        <v>17</v>
      </c>
      <c r="D26" s="32">
        <v>18</v>
      </c>
      <c r="E26" s="32">
        <v>18</v>
      </c>
      <c r="F26" s="32">
        <v>19</v>
      </c>
      <c r="G26" s="32">
        <v>0</v>
      </c>
      <c r="H26" s="32">
        <v>0</v>
      </c>
      <c r="I26" s="32">
        <v>14.3</v>
      </c>
      <c r="J26" s="32">
        <v>14</v>
      </c>
      <c r="K26" s="32">
        <v>15.5</v>
      </c>
      <c r="L26" s="32">
        <v>18</v>
      </c>
      <c r="M26" s="32">
        <v>18.5</v>
      </c>
      <c r="N26" s="32">
        <v>19.5</v>
      </c>
      <c r="O26" s="32">
        <v>21</v>
      </c>
      <c r="P26" s="32">
        <v>21.5</v>
      </c>
      <c r="Q26" s="32">
        <v>22</v>
      </c>
      <c r="R26" s="32">
        <v>22</v>
      </c>
      <c r="S26" s="32">
        <v>22.4</v>
      </c>
      <c r="T26" s="32">
        <v>22.9</v>
      </c>
      <c r="U26" s="32">
        <v>23.3</v>
      </c>
      <c r="V26" s="32">
        <v>23.8</v>
      </c>
      <c r="W26" s="32">
        <v>24.3</v>
      </c>
      <c r="X26" s="32">
        <v>24.8</v>
      </c>
      <c r="Y26" s="32">
        <v>25.2</v>
      </c>
      <c r="Z26" s="32">
        <v>25.8</v>
      </c>
      <c r="AA26" s="32">
        <v>26.3</v>
      </c>
      <c r="AB26" s="32">
        <v>26.8</v>
      </c>
      <c r="AD26" s="8"/>
      <c r="AE26" s="8"/>
      <c r="AF26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13"/>
      <c r="BH26" s="8"/>
      <c r="BI26" s="8"/>
      <c r="BJ26" s="8"/>
    </row>
    <row r="27" spans="1:62" ht="15" x14ac:dyDescent="0.2">
      <c r="A27" s="7" t="s">
        <v>156</v>
      </c>
      <c r="C27" s="32">
        <v>50</v>
      </c>
      <c r="D27" s="32">
        <v>54</v>
      </c>
      <c r="E27" s="32">
        <v>58</v>
      </c>
      <c r="F27" s="32">
        <v>58</v>
      </c>
      <c r="G27" s="32">
        <v>56</v>
      </c>
      <c r="H27" s="32">
        <v>55</v>
      </c>
      <c r="I27" s="32">
        <v>54</v>
      </c>
      <c r="J27" s="32">
        <v>53</v>
      </c>
      <c r="K27" s="32">
        <v>52</v>
      </c>
      <c r="L27" s="32">
        <v>50</v>
      </c>
      <c r="M27" s="32">
        <v>48</v>
      </c>
      <c r="N27" s="32">
        <v>52</v>
      </c>
      <c r="O27" s="32">
        <v>0</v>
      </c>
      <c r="P27" s="32">
        <v>0</v>
      </c>
      <c r="Q27" s="32">
        <v>0</v>
      </c>
      <c r="R27" s="32">
        <v>50</v>
      </c>
      <c r="S27" s="32">
        <v>51</v>
      </c>
      <c r="T27" s="32">
        <v>52</v>
      </c>
      <c r="U27" s="32">
        <v>53.1</v>
      </c>
      <c r="V27" s="32">
        <v>54.1</v>
      </c>
      <c r="W27" s="32">
        <v>55.2</v>
      </c>
      <c r="X27" s="32">
        <v>56.3</v>
      </c>
      <c r="Y27" s="32">
        <v>57.4</v>
      </c>
      <c r="Z27" s="32">
        <v>58.6</v>
      </c>
      <c r="AA27" s="32">
        <v>59.8</v>
      </c>
      <c r="AB27" s="32">
        <v>61</v>
      </c>
      <c r="AE27" s="8"/>
      <c r="AF27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13"/>
      <c r="BH27" s="8"/>
      <c r="BI27" s="8"/>
      <c r="BJ27" s="13"/>
    </row>
    <row r="28" spans="1:62" ht="15" x14ac:dyDescent="0.2">
      <c r="A28" s="7" t="s">
        <v>159</v>
      </c>
      <c r="C28" s="32">
        <v>29</v>
      </c>
      <c r="D28" s="32">
        <v>31</v>
      </c>
      <c r="E28" s="32">
        <v>32</v>
      </c>
      <c r="F28" s="32">
        <v>31</v>
      </c>
      <c r="G28" s="32">
        <v>29</v>
      </c>
      <c r="H28" s="32">
        <v>26</v>
      </c>
      <c r="I28" s="32">
        <v>0</v>
      </c>
      <c r="J28" s="32">
        <v>24</v>
      </c>
      <c r="K28" s="32">
        <v>25</v>
      </c>
      <c r="L28" s="32">
        <v>26</v>
      </c>
      <c r="M28" s="32">
        <v>25</v>
      </c>
      <c r="N28" s="32">
        <v>28</v>
      </c>
      <c r="O28" s="32">
        <v>31</v>
      </c>
      <c r="P28" s="32">
        <v>30</v>
      </c>
      <c r="Q28" s="32">
        <v>29</v>
      </c>
      <c r="R28" s="32">
        <v>29.5</v>
      </c>
      <c r="S28" s="32">
        <v>30.1</v>
      </c>
      <c r="T28" s="32">
        <v>30.7</v>
      </c>
      <c r="U28" s="32">
        <v>31.3</v>
      </c>
      <c r="V28" s="32">
        <v>31.9</v>
      </c>
      <c r="W28" s="32">
        <v>32.5</v>
      </c>
      <c r="X28" s="32">
        <v>33.200000000000003</v>
      </c>
      <c r="Y28" s="32">
        <v>33.799999999999997</v>
      </c>
      <c r="Z28" s="32">
        <v>34.5</v>
      </c>
      <c r="AA28" s="32">
        <v>35.200000000000003</v>
      </c>
      <c r="AB28" s="32">
        <v>35.9</v>
      </c>
      <c r="AE28" s="8"/>
      <c r="AF2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13"/>
      <c r="BH28" s="8"/>
      <c r="BI28" s="8"/>
      <c r="BJ28" s="13"/>
    </row>
    <row r="29" spans="1:62" ht="15" x14ac:dyDescent="0.2">
      <c r="A29" s="7" t="s">
        <v>285</v>
      </c>
      <c r="C29" s="32">
        <v>44</v>
      </c>
      <c r="D29" s="32">
        <v>45</v>
      </c>
      <c r="E29" s="32">
        <v>43</v>
      </c>
      <c r="F29" s="32">
        <v>44</v>
      </c>
      <c r="G29" s="32">
        <v>45</v>
      </c>
      <c r="H29" s="32">
        <v>46</v>
      </c>
      <c r="I29" s="32">
        <v>47</v>
      </c>
      <c r="J29" s="32">
        <v>46</v>
      </c>
      <c r="K29" s="32">
        <v>44</v>
      </c>
      <c r="L29" s="32">
        <v>43</v>
      </c>
      <c r="M29" s="32">
        <v>0</v>
      </c>
      <c r="N29" s="32">
        <v>45</v>
      </c>
      <c r="O29" s="32">
        <v>48</v>
      </c>
      <c r="P29" s="32">
        <v>51</v>
      </c>
      <c r="Q29" s="32">
        <v>49</v>
      </c>
      <c r="R29" s="32">
        <v>50</v>
      </c>
      <c r="S29" s="32">
        <v>50</v>
      </c>
      <c r="T29" s="32">
        <v>49</v>
      </c>
      <c r="U29" s="32">
        <v>48</v>
      </c>
      <c r="V29" s="32">
        <v>48</v>
      </c>
      <c r="W29" s="32">
        <v>49</v>
      </c>
      <c r="X29" s="32">
        <v>50</v>
      </c>
      <c r="Y29" s="32">
        <v>51</v>
      </c>
      <c r="Z29" s="32">
        <v>52</v>
      </c>
      <c r="AA29" s="32">
        <v>53</v>
      </c>
      <c r="AB29" s="32">
        <v>54.1</v>
      </c>
      <c r="AE29" s="8"/>
      <c r="AF29"/>
      <c r="AG29"/>
      <c r="AH29"/>
      <c r="AI29"/>
      <c r="AJ29"/>
      <c r="AK29"/>
      <c r="AL29" s="8"/>
      <c r="AM29"/>
      <c r="AN29"/>
      <c r="AO29"/>
      <c r="AP29"/>
      <c r="AQ29"/>
      <c r="AR29"/>
      <c r="AS29"/>
      <c r="AT29"/>
      <c r="AU29"/>
      <c r="AV29" s="8"/>
      <c r="AW29"/>
      <c r="AX29"/>
      <c r="AY29"/>
      <c r="AZ29"/>
      <c r="BA29"/>
      <c r="BB29"/>
      <c r="BC29"/>
      <c r="BD29"/>
      <c r="BE29"/>
      <c r="BF29" s="8"/>
      <c r="BG29" s="8"/>
      <c r="BH29" s="8"/>
      <c r="BI29" s="8"/>
      <c r="BJ29" s="13"/>
    </row>
    <row r="30" spans="1:62" ht="15" x14ac:dyDescent="0.2">
      <c r="A30" s="7" t="s">
        <v>267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f>-O270</f>
        <v>0</v>
      </c>
      <c r="I30" s="32">
        <v>54</v>
      </c>
      <c r="J30" s="32">
        <v>51</v>
      </c>
      <c r="K30" s="32">
        <v>49</v>
      </c>
      <c r="L30" s="32">
        <v>48</v>
      </c>
      <c r="M30" s="32">
        <v>48</v>
      </c>
      <c r="N30" s="32">
        <v>50</v>
      </c>
      <c r="O30" s="32">
        <v>53</v>
      </c>
      <c r="P30" s="32">
        <v>56</v>
      </c>
      <c r="Q30" s="32">
        <v>53</v>
      </c>
      <c r="R30" s="32">
        <v>54</v>
      </c>
      <c r="S30" s="32">
        <v>54</v>
      </c>
      <c r="T30" s="32">
        <v>53</v>
      </c>
      <c r="U30" s="32">
        <v>52</v>
      </c>
      <c r="V30" s="32">
        <v>52</v>
      </c>
      <c r="W30" s="32">
        <v>53</v>
      </c>
      <c r="X30" s="32">
        <v>54.1</v>
      </c>
      <c r="Y30" s="32">
        <v>55.2</v>
      </c>
      <c r="Z30" s="32">
        <v>56.3</v>
      </c>
      <c r="AA30" s="32">
        <v>57.4</v>
      </c>
      <c r="AB30" s="32">
        <v>58.6</v>
      </c>
      <c r="AE30" s="8"/>
      <c r="AF30"/>
      <c r="AG30"/>
      <c r="AH30"/>
      <c r="AI30"/>
      <c r="AJ30"/>
      <c r="AK30"/>
      <c r="AL30" s="8"/>
      <c r="AM30"/>
      <c r="AN30"/>
      <c r="AO30"/>
      <c r="AP30"/>
      <c r="AQ30"/>
      <c r="AR30"/>
      <c r="AS30"/>
      <c r="AT30"/>
      <c r="AU30"/>
      <c r="AV30" s="8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8"/>
    </row>
    <row r="31" spans="1:62" ht="15" x14ac:dyDescent="0.2">
      <c r="A31" s="7" t="s">
        <v>170</v>
      </c>
      <c r="C31" s="32">
        <v>46</v>
      </c>
      <c r="D31" s="32">
        <v>47</v>
      </c>
      <c r="E31" s="32">
        <v>45</v>
      </c>
      <c r="F31" s="32">
        <v>46</v>
      </c>
      <c r="G31" s="32">
        <v>47</v>
      </c>
      <c r="H31" s="32">
        <v>48</v>
      </c>
      <c r="I31" s="32">
        <v>49</v>
      </c>
      <c r="J31" s="32">
        <v>48</v>
      </c>
      <c r="K31" s="32">
        <v>46</v>
      </c>
      <c r="L31" s="32">
        <v>45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51</v>
      </c>
      <c r="U31" s="32">
        <v>50</v>
      </c>
      <c r="V31" s="32">
        <v>50</v>
      </c>
      <c r="W31" s="32">
        <v>51</v>
      </c>
      <c r="X31" s="32">
        <v>52</v>
      </c>
      <c r="Y31" s="32">
        <v>53.1</v>
      </c>
      <c r="Z31" s="32">
        <v>54.1</v>
      </c>
      <c r="AA31" s="32">
        <v>55.2</v>
      </c>
      <c r="AB31" s="32">
        <v>56.3</v>
      </c>
      <c r="AE31" s="8"/>
      <c r="AF31"/>
      <c r="AG31"/>
      <c r="AH31"/>
      <c r="AI31"/>
      <c r="AJ31"/>
      <c r="AK31"/>
      <c r="AL31" s="8"/>
      <c r="AM31"/>
      <c r="AN31"/>
      <c r="AO31"/>
      <c r="AP31"/>
      <c r="AQ31"/>
      <c r="AR31"/>
      <c r="AS31"/>
      <c r="AT31"/>
      <c r="AU31"/>
      <c r="AV31" s="8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8"/>
    </row>
    <row r="32" spans="1:62" ht="15" x14ac:dyDescent="0.2">
      <c r="A32" s="7" t="s">
        <v>271</v>
      </c>
      <c r="C32" s="32">
        <v>34</v>
      </c>
      <c r="D32" s="32">
        <v>35</v>
      </c>
      <c r="E32" s="32">
        <v>36</v>
      </c>
      <c r="F32" s="32">
        <v>36</v>
      </c>
      <c r="G32" s="32">
        <v>35</v>
      </c>
      <c r="H32" s="32">
        <v>35</v>
      </c>
      <c r="I32" s="32">
        <v>36</v>
      </c>
      <c r="J32" s="32">
        <v>36</v>
      </c>
      <c r="K32" s="32">
        <v>35</v>
      </c>
      <c r="L32" s="32">
        <v>34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E32" s="8"/>
      <c r="AF32"/>
      <c r="AG32"/>
      <c r="AH32"/>
      <c r="AI32"/>
      <c r="AJ32"/>
      <c r="AK32"/>
      <c r="AL32" s="8"/>
      <c r="AM32"/>
      <c r="AN32"/>
      <c r="AO32"/>
      <c r="AP32"/>
      <c r="AQ32"/>
      <c r="AR32"/>
      <c r="AS32"/>
      <c r="AT32"/>
      <c r="AU32"/>
      <c r="AV32" s="8"/>
      <c r="AW32"/>
      <c r="AX32"/>
      <c r="AY32"/>
      <c r="AZ32"/>
      <c r="BA32"/>
      <c r="BB32"/>
      <c r="BC32"/>
      <c r="BD32"/>
      <c r="BE32"/>
    </row>
    <row r="33" spans="1:65" ht="15" x14ac:dyDescent="0.2">
      <c r="A33" s="7" t="s">
        <v>274</v>
      </c>
      <c r="C33" s="32">
        <v>47</v>
      </c>
      <c r="D33" s="32">
        <v>48</v>
      </c>
      <c r="E33" s="32">
        <v>46</v>
      </c>
      <c r="F33" s="32">
        <v>47</v>
      </c>
      <c r="G33" s="32">
        <v>48</v>
      </c>
      <c r="H33" s="32">
        <v>49</v>
      </c>
      <c r="I33" s="32">
        <v>50</v>
      </c>
      <c r="J33" s="32">
        <v>49</v>
      </c>
      <c r="K33" s="32">
        <v>47</v>
      </c>
      <c r="L33" s="32">
        <v>46</v>
      </c>
      <c r="M33" s="32">
        <v>46</v>
      </c>
      <c r="N33" s="32">
        <v>48</v>
      </c>
      <c r="O33" s="32">
        <v>51</v>
      </c>
      <c r="P33" s="32">
        <v>54</v>
      </c>
      <c r="Q33" s="32">
        <v>52</v>
      </c>
      <c r="R33" s="32">
        <v>53</v>
      </c>
      <c r="S33" s="32">
        <v>0</v>
      </c>
      <c r="T33" s="32">
        <v>52</v>
      </c>
      <c r="U33" s="32">
        <v>51</v>
      </c>
      <c r="V33" s="32">
        <v>51</v>
      </c>
      <c r="W33" s="32">
        <v>52</v>
      </c>
      <c r="X33" s="32">
        <v>53.1</v>
      </c>
      <c r="Y33" s="32">
        <v>54.1</v>
      </c>
      <c r="Z33" s="32">
        <v>55.2</v>
      </c>
      <c r="AA33" s="32">
        <v>56.3</v>
      </c>
      <c r="AB33" s="32">
        <v>57.4</v>
      </c>
      <c r="AE33" s="8"/>
      <c r="AF33"/>
      <c r="AG33"/>
      <c r="AH33"/>
      <c r="AI33"/>
      <c r="AJ33"/>
      <c r="AK33"/>
      <c r="AL33" s="8"/>
      <c r="AM33"/>
      <c r="AN33"/>
      <c r="AO33"/>
      <c r="AP33"/>
      <c r="AQ33"/>
      <c r="AR33"/>
      <c r="AS33"/>
      <c r="AT33"/>
      <c r="AU33"/>
      <c r="AV33" s="8"/>
      <c r="AW33"/>
      <c r="AX33"/>
      <c r="AY33"/>
      <c r="AZ33"/>
      <c r="BA33"/>
      <c r="BB33"/>
      <c r="BC33"/>
      <c r="BD33"/>
      <c r="BE33"/>
      <c r="BF33" s="36"/>
      <c r="BG33" s="36"/>
      <c r="BH33" s="36"/>
      <c r="BI33" s="36"/>
      <c r="BJ33" s="36"/>
    </row>
    <row r="34" spans="1:65" ht="15" x14ac:dyDescent="0.2">
      <c r="A34" s="7" t="s">
        <v>276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50</v>
      </c>
      <c r="L34" s="32">
        <v>49</v>
      </c>
      <c r="M34" s="32">
        <v>0</v>
      </c>
      <c r="N34" s="32">
        <v>51</v>
      </c>
      <c r="O34" s="32">
        <v>54</v>
      </c>
      <c r="P34" s="32">
        <v>57</v>
      </c>
      <c r="Q34" s="32">
        <v>55</v>
      </c>
      <c r="R34" s="32">
        <v>56</v>
      </c>
      <c r="S34" s="32">
        <v>56</v>
      </c>
      <c r="T34" s="32">
        <v>55</v>
      </c>
      <c r="U34" s="32">
        <v>54</v>
      </c>
      <c r="V34" s="32">
        <v>54</v>
      </c>
      <c r="W34" s="32">
        <v>55.1</v>
      </c>
      <c r="X34" s="32">
        <v>56.2</v>
      </c>
      <c r="Y34" s="32">
        <v>57.3</v>
      </c>
      <c r="Z34" s="32">
        <v>58.5</v>
      </c>
      <c r="AA34" s="32">
        <v>59.6</v>
      </c>
      <c r="AB34" s="32">
        <v>60.8</v>
      </c>
      <c r="AE34" s="8"/>
      <c r="AF34"/>
      <c r="AG34"/>
      <c r="AH34"/>
      <c r="AI34"/>
      <c r="AJ34"/>
      <c r="AK34"/>
      <c r="AL34" s="8"/>
      <c r="AM34"/>
      <c r="AN34"/>
      <c r="AO34"/>
      <c r="AP34"/>
      <c r="AQ34"/>
      <c r="AR34"/>
      <c r="AS34"/>
      <c r="AT34"/>
      <c r="AU34"/>
      <c r="AV34" s="8"/>
      <c r="AW34"/>
      <c r="AX34"/>
      <c r="AY34"/>
      <c r="AZ34"/>
      <c r="BA34"/>
      <c r="BB34"/>
      <c r="BC34"/>
      <c r="BD34"/>
      <c r="BE34"/>
      <c r="BF34" s="37"/>
      <c r="BG34" s="37"/>
      <c r="BH34" s="37"/>
      <c r="BI34" s="37"/>
      <c r="BJ34" s="37"/>
    </row>
    <row r="35" spans="1:65" ht="15" x14ac:dyDescent="0.2">
      <c r="A35" s="7" t="s">
        <v>279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65</v>
      </c>
      <c r="Q35" s="32">
        <v>63</v>
      </c>
      <c r="R35" s="32">
        <v>64</v>
      </c>
      <c r="S35" s="32">
        <v>65</v>
      </c>
      <c r="T35" s="32">
        <v>64</v>
      </c>
      <c r="U35" s="32">
        <v>62</v>
      </c>
      <c r="V35" s="32">
        <v>62</v>
      </c>
      <c r="W35" s="32">
        <v>63.2</v>
      </c>
      <c r="X35" s="32">
        <v>64.5</v>
      </c>
      <c r="Y35" s="32">
        <v>65.8</v>
      </c>
      <c r="Z35" s="32">
        <v>67.099999999999994</v>
      </c>
      <c r="AA35" s="32">
        <v>68.400000000000006</v>
      </c>
      <c r="AB35" s="32">
        <v>69.8</v>
      </c>
      <c r="AC35" s="8"/>
      <c r="AD35" s="8"/>
      <c r="AE35" s="8"/>
      <c r="AF35"/>
      <c r="AG35"/>
      <c r="AH35"/>
      <c r="AI35"/>
      <c r="AJ35"/>
      <c r="AK35"/>
      <c r="AL35" s="8"/>
      <c r="AM35"/>
      <c r="AN35"/>
      <c r="AO35"/>
      <c r="AP35"/>
      <c r="AQ35"/>
      <c r="AR35"/>
      <c r="AS35"/>
      <c r="AT35"/>
      <c r="AU35"/>
      <c r="AV35" s="8"/>
      <c r="AW35"/>
      <c r="AX35"/>
      <c r="AY35"/>
      <c r="AZ35"/>
      <c r="BA35"/>
      <c r="BB35"/>
      <c r="BC35"/>
      <c r="BD35"/>
      <c r="BE35"/>
      <c r="BF35" s="37"/>
      <c r="BG35" s="37"/>
      <c r="BH35" s="37"/>
      <c r="BI35" s="37"/>
      <c r="BJ35" s="37"/>
    </row>
    <row r="36" spans="1:65" ht="15" x14ac:dyDescent="0.2">
      <c r="A36" s="7" t="s">
        <v>173</v>
      </c>
      <c r="C36" s="32">
        <v>0</v>
      </c>
      <c r="D36" s="32">
        <v>0</v>
      </c>
      <c r="E36" s="32">
        <v>72</v>
      </c>
      <c r="F36" s="32">
        <v>57</v>
      </c>
      <c r="G36" s="32">
        <v>50</v>
      </c>
      <c r="H36" s="32">
        <v>0</v>
      </c>
      <c r="I36" s="32">
        <v>0</v>
      </c>
      <c r="J36" s="32">
        <v>0</v>
      </c>
      <c r="K36" s="32">
        <v>0</v>
      </c>
      <c r="L36" s="32">
        <v>43</v>
      </c>
      <c r="M36" s="32">
        <v>0</v>
      </c>
      <c r="N36" s="32">
        <v>49</v>
      </c>
      <c r="O36" s="32">
        <v>47</v>
      </c>
      <c r="P36" s="32">
        <v>44</v>
      </c>
      <c r="Q36" s="32">
        <v>44.5</v>
      </c>
      <c r="R36" s="32">
        <v>42</v>
      </c>
      <c r="S36" s="32">
        <v>40</v>
      </c>
      <c r="T36" s="32">
        <v>40.799999999999997</v>
      </c>
      <c r="U36" s="32">
        <v>41.6</v>
      </c>
      <c r="V36" s="32">
        <v>42.4</v>
      </c>
      <c r="W36" s="32">
        <v>43.3</v>
      </c>
      <c r="X36" s="32">
        <v>44.2</v>
      </c>
      <c r="Y36" s="32">
        <v>45</v>
      </c>
      <c r="Z36" s="32">
        <v>45.9</v>
      </c>
      <c r="AA36" s="32">
        <v>46.9</v>
      </c>
      <c r="AB36" s="32">
        <v>47.8</v>
      </c>
      <c r="AC36"/>
      <c r="AD36"/>
      <c r="AE36" s="8"/>
    </row>
    <row r="37" spans="1:65" ht="15" x14ac:dyDescent="0.2">
      <c r="A37" s="7" t="s">
        <v>177</v>
      </c>
      <c r="C37" s="32">
        <v>0</v>
      </c>
      <c r="D37" s="32">
        <v>55</v>
      </c>
      <c r="E37" s="32">
        <v>49</v>
      </c>
      <c r="F37" s="32">
        <v>43</v>
      </c>
      <c r="G37" s="32">
        <v>38</v>
      </c>
      <c r="H37" s="32">
        <v>38</v>
      </c>
      <c r="I37" s="32">
        <v>40</v>
      </c>
      <c r="J37" s="32">
        <v>42</v>
      </c>
      <c r="K37" s="32">
        <v>0</v>
      </c>
      <c r="L37" s="32">
        <v>0</v>
      </c>
      <c r="M37" s="32">
        <v>0</v>
      </c>
      <c r="N37" s="32">
        <v>34</v>
      </c>
      <c r="O37" s="32">
        <v>35</v>
      </c>
      <c r="P37" s="32">
        <v>36</v>
      </c>
      <c r="Q37" s="32">
        <v>37</v>
      </c>
      <c r="R37" s="32">
        <v>40</v>
      </c>
      <c r="S37" s="32">
        <v>43</v>
      </c>
      <c r="T37" s="32">
        <v>43.9</v>
      </c>
      <c r="U37" s="32">
        <v>44.7</v>
      </c>
      <c r="V37" s="32">
        <v>45.6</v>
      </c>
      <c r="W37" s="32">
        <v>46.5</v>
      </c>
      <c r="X37" s="32">
        <v>47.5</v>
      </c>
      <c r="Y37" s="32">
        <v>48.4</v>
      </c>
      <c r="Z37" s="32">
        <v>49.4</v>
      </c>
      <c r="AA37" s="32">
        <v>50.4</v>
      </c>
      <c r="AB37" s="32">
        <v>51.4</v>
      </c>
      <c r="AC37"/>
      <c r="AD37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65" ht="15" x14ac:dyDescent="0.2">
      <c r="A38" s="7" t="s">
        <v>119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23.4</v>
      </c>
      <c r="S38" s="32">
        <v>23.9</v>
      </c>
      <c r="T38" s="32">
        <v>24.4</v>
      </c>
      <c r="U38" s="32">
        <v>24.8</v>
      </c>
      <c r="V38" s="32">
        <v>25.3</v>
      </c>
      <c r="W38" s="32">
        <v>25.8</v>
      </c>
      <c r="X38" s="32">
        <v>26.4</v>
      </c>
      <c r="Y38" s="32">
        <v>26.9</v>
      </c>
      <c r="Z38" s="32">
        <v>27.4</v>
      </c>
      <c r="AA38" s="32">
        <v>28</v>
      </c>
      <c r="AB38" s="32">
        <v>28.5</v>
      </c>
      <c r="AF38" s="8"/>
      <c r="AG38"/>
      <c r="AH38"/>
      <c r="AI38"/>
      <c r="AJ38"/>
      <c r="AK38"/>
      <c r="AL38" s="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 s="8"/>
    </row>
    <row r="39" spans="1:65" ht="15" x14ac:dyDescent="0.2">
      <c r="A39" s="7" t="s">
        <v>120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25.5</v>
      </c>
      <c r="S39" s="32">
        <v>26</v>
      </c>
      <c r="T39" s="32">
        <v>26.5</v>
      </c>
      <c r="U39" s="32">
        <v>27</v>
      </c>
      <c r="V39" s="32">
        <v>27.6</v>
      </c>
      <c r="W39" s="32">
        <v>28.1</v>
      </c>
      <c r="X39" s="32">
        <v>28.7</v>
      </c>
      <c r="Y39" s="32">
        <v>29.3</v>
      </c>
      <c r="Z39" s="32">
        <v>29.9</v>
      </c>
      <c r="AA39" s="32">
        <v>30.5</v>
      </c>
      <c r="AB39" s="32">
        <v>31.1</v>
      </c>
      <c r="AF39" s="8"/>
      <c r="AG39"/>
      <c r="AH39"/>
      <c r="AI39"/>
      <c r="AJ39"/>
      <c r="AK39"/>
      <c r="AL39" s="8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 s="8"/>
    </row>
    <row r="40" spans="1:65" ht="16" customHeight="1" x14ac:dyDescent="0.2">
      <c r="A40" s="7" t="s">
        <v>217</v>
      </c>
      <c r="C40" s="32">
        <v>43.5</v>
      </c>
      <c r="D40" s="32">
        <v>50.5</v>
      </c>
      <c r="E40" s="32">
        <v>53.5</v>
      </c>
      <c r="F40" s="32">
        <v>55.9</v>
      </c>
      <c r="G40" s="32">
        <v>47.7</v>
      </c>
      <c r="H40" s="32">
        <v>34.4</v>
      </c>
      <c r="I40" s="32">
        <v>31.5</v>
      </c>
      <c r="J40" s="32">
        <v>32.5</v>
      </c>
      <c r="K40" s="32">
        <v>60.5</v>
      </c>
      <c r="L40" s="32">
        <v>47.8</v>
      </c>
      <c r="M40" s="32">
        <v>59.7</v>
      </c>
      <c r="N40" s="32">
        <v>45</v>
      </c>
      <c r="O40" s="32">
        <v>50</v>
      </c>
      <c r="P40" s="32">
        <v>52</v>
      </c>
      <c r="Q40" s="32">
        <v>57.2</v>
      </c>
      <c r="R40" s="32">
        <v>50.2</v>
      </c>
      <c r="S40" s="32">
        <v>47.5</v>
      </c>
      <c r="T40" s="32">
        <v>45.5</v>
      </c>
      <c r="U40" s="32">
        <v>44.5</v>
      </c>
      <c r="V40" s="32">
        <v>43.5</v>
      </c>
      <c r="W40" s="32">
        <v>44.4</v>
      </c>
      <c r="X40" s="32">
        <v>45.3</v>
      </c>
      <c r="Y40" s="32">
        <v>46.3</v>
      </c>
      <c r="Z40" s="32">
        <v>47.2</v>
      </c>
      <c r="AA40" s="32">
        <v>48.2</v>
      </c>
      <c r="AB40" s="32">
        <v>49.2</v>
      </c>
      <c r="AF40" s="8"/>
      <c r="AG40"/>
      <c r="AH40"/>
      <c r="AI40"/>
      <c r="AJ40"/>
      <c r="AK40"/>
      <c r="AL40" s="8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</row>
    <row r="41" spans="1:65" ht="16" customHeight="1" x14ac:dyDescent="0.2">
      <c r="A41" s="7" t="s">
        <v>225</v>
      </c>
      <c r="C41" s="32">
        <v>45.5</v>
      </c>
      <c r="D41" s="32">
        <v>52.5</v>
      </c>
      <c r="E41" s="32">
        <v>55.5</v>
      </c>
      <c r="F41" s="32">
        <v>57.9</v>
      </c>
      <c r="G41" s="32">
        <v>49.7</v>
      </c>
      <c r="H41" s="32">
        <v>36.4</v>
      </c>
      <c r="I41" s="32">
        <v>33.5</v>
      </c>
      <c r="J41" s="32">
        <v>34.5</v>
      </c>
      <c r="K41" s="32">
        <v>62.5</v>
      </c>
      <c r="L41" s="32">
        <v>49.8</v>
      </c>
      <c r="M41" s="32">
        <v>61.7</v>
      </c>
      <c r="N41" s="32">
        <v>47</v>
      </c>
      <c r="O41" s="32">
        <v>52</v>
      </c>
      <c r="P41" s="32">
        <v>54</v>
      </c>
      <c r="Q41" s="32">
        <v>59.2</v>
      </c>
      <c r="R41" s="32">
        <v>52.2</v>
      </c>
      <c r="S41" s="32">
        <v>49.5</v>
      </c>
      <c r="T41" s="32">
        <v>47.5</v>
      </c>
      <c r="U41" s="32">
        <v>46.5</v>
      </c>
      <c r="V41" s="32">
        <v>45.5</v>
      </c>
      <c r="W41" s="32">
        <v>46.4</v>
      </c>
      <c r="X41" s="32">
        <v>47.3</v>
      </c>
      <c r="Y41" s="32">
        <v>48.3</v>
      </c>
      <c r="Z41" s="32">
        <v>49.2</v>
      </c>
      <c r="AA41" s="32">
        <v>50.2</v>
      </c>
      <c r="AB41" s="32">
        <v>51.2</v>
      </c>
    </row>
    <row r="42" spans="1:65" ht="15" x14ac:dyDescent="0.2">
      <c r="A42" s="7" t="s">
        <v>220</v>
      </c>
      <c r="C42" s="32">
        <v>53.3</v>
      </c>
      <c r="D42" s="32">
        <v>60.3</v>
      </c>
      <c r="E42" s="32">
        <v>63.3</v>
      </c>
      <c r="F42" s="32">
        <v>65.7</v>
      </c>
      <c r="G42" s="32">
        <v>57.5</v>
      </c>
      <c r="H42" s="32">
        <v>44.2</v>
      </c>
      <c r="I42" s="32">
        <v>41.3</v>
      </c>
      <c r="J42" s="32">
        <v>42.3</v>
      </c>
      <c r="K42" s="32">
        <v>70.3</v>
      </c>
      <c r="L42" s="32">
        <v>57.6</v>
      </c>
      <c r="M42" s="32">
        <v>69.5</v>
      </c>
      <c r="N42" s="32">
        <v>54.8</v>
      </c>
      <c r="O42" s="32">
        <v>59.8</v>
      </c>
      <c r="P42" s="32">
        <v>61.8</v>
      </c>
      <c r="Q42" s="32">
        <v>67</v>
      </c>
      <c r="R42" s="32">
        <v>60</v>
      </c>
      <c r="S42" s="32">
        <v>57.3</v>
      </c>
      <c r="T42" s="32">
        <v>55.3</v>
      </c>
      <c r="U42" s="32">
        <v>54.3</v>
      </c>
      <c r="V42" s="32">
        <v>53.3</v>
      </c>
      <c r="W42" s="32">
        <v>54.2</v>
      </c>
      <c r="X42" s="32">
        <v>55.1</v>
      </c>
      <c r="Y42" s="32">
        <v>56.1</v>
      </c>
      <c r="Z42" s="32">
        <v>57</v>
      </c>
      <c r="AA42" s="32">
        <v>58</v>
      </c>
      <c r="AB42" s="32">
        <v>59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</row>
    <row r="43" spans="1:65" ht="15" x14ac:dyDescent="0.2">
      <c r="A43" s="7" t="s">
        <v>127</v>
      </c>
      <c r="C43" s="32">
        <v>43.2</v>
      </c>
      <c r="D43" s="32">
        <v>54.8</v>
      </c>
      <c r="E43" s="32">
        <v>98.3</v>
      </c>
      <c r="F43" s="32">
        <v>53.2</v>
      </c>
      <c r="G43" s="32">
        <v>48.3</v>
      </c>
      <c r="H43" s="32">
        <v>36.1</v>
      </c>
      <c r="I43" s="32">
        <v>29.8</v>
      </c>
      <c r="J43" s="32">
        <v>34.5</v>
      </c>
      <c r="K43" s="32">
        <v>29.9</v>
      </c>
      <c r="L43" s="32">
        <v>32</v>
      </c>
      <c r="M43" s="32">
        <v>43.5</v>
      </c>
      <c r="N43" s="32">
        <v>42.1</v>
      </c>
      <c r="O43" s="32">
        <v>82.7</v>
      </c>
      <c r="P43" s="32">
        <v>51.2</v>
      </c>
      <c r="Q43" s="32">
        <v>48.8</v>
      </c>
      <c r="R43" s="32">
        <v>65.099999999999994</v>
      </c>
      <c r="S43" s="32">
        <v>39.4</v>
      </c>
      <c r="T43" s="32">
        <v>39.4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D43" s="8"/>
      <c r="AE43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/>
      <c r="AX43"/>
      <c r="AY43"/>
      <c r="AZ43"/>
      <c r="BA43"/>
      <c r="BB43"/>
      <c r="BC43"/>
      <c r="BD43"/>
      <c r="BE43"/>
      <c r="BF43"/>
      <c r="BG43"/>
      <c r="BH43" s="8"/>
      <c r="BI43"/>
      <c r="BJ43"/>
      <c r="BK43"/>
      <c r="BL43"/>
      <c r="BM43" s="8"/>
    </row>
    <row r="44" spans="1:65" ht="15" x14ac:dyDescent="0.2">
      <c r="A44" s="7" t="s">
        <v>130</v>
      </c>
      <c r="C44" s="32">
        <v>74.7</v>
      </c>
      <c r="D44" s="32">
        <v>113.1</v>
      </c>
      <c r="E44" s="32">
        <v>109.9</v>
      </c>
      <c r="F44" s="32">
        <v>116.1</v>
      </c>
      <c r="G44" s="32">
        <v>78.2</v>
      </c>
      <c r="H44" s="32">
        <v>58.1</v>
      </c>
      <c r="I44" s="32">
        <v>58.9</v>
      </c>
      <c r="J44" s="32">
        <v>76.099999999999994</v>
      </c>
      <c r="K44" s="32">
        <v>73.400000000000006</v>
      </c>
      <c r="L44" s="32">
        <v>79.400000000000006</v>
      </c>
      <c r="M44" s="32">
        <v>68.8</v>
      </c>
      <c r="N44" s="32">
        <v>74.900000000000006</v>
      </c>
      <c r="O44" s="32">
        <v>83.9</v>
      </c>
      <c r="P44" s="32">
        <v>90.8</v>
      </c>
      <c r="Q44" s="32">
        <v>96.4</v>
      </c>
      <c r="R44" s="32">
        <v>106.2</v>
      </c>
      <c r="S44" s="32">
        <v>103.2</v>
      </c>
      <c r="T44" s="32">
        <v>105.3</v>
      </c>
      <c r="U44" s="32">
        <v>107.4</v>
      </c>
      <c r="V44" s="32">
        <v>109.5</v>
      </c>
      <c r="W44" s="32">
        <v>111.7</v>
      </c>
      <c r="X44" s="32">
        <v>113.9</v>
      </c>
      <c r="Y44" s="32">
        <v>116.2</v>
      </c>
      <c r="Z44" s="32">
        <v>118.5</v>
      </c>
      <c r="AA44" s="32">
        <v>120.9</v>
      </c>
      <c r="AB44" s="32">
        <v>123.3</v>
      </c>
      <c r="AD44" s="8"/>
      <c r="AE44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/>
      <c r="BG44"/>
      <c r="BH44" s="8"/>
      <c r="BI44"/>
      <c r="BJ44"/>
      <c r="BK44"/>
      <c r="BL44"/>
      <c r="BM44" s="8"/>
    </row>
    <row r="45" spans="1:65" ht="15" x14ac:dyDescent="0.2">
      <c r="A45" s="7" t="s">
        <v>249</v>
      </c>
      <c r="C45" s="32">
        <v>35</v>
      </c>
      <c r="D45" s="32">
        <v>40</v>
      </c>
      <c r="E45" s="32">
        <v>41</v>
      </c>
      <c r="F45" s="32">
        <v>39</v>
      </c>
      <c r="G45" s="32">
        <v>34</v>
      </c>
      <c r="H45" s="32">
        <v>0</v>
      </c>
      <c r="I45" s="32">
        <v>29</v>
      </c>
      <c r="J45" s="32">
        <v>31</v>
      </c>
      <c r="K45" s="32">
        <v>30</v>
      </c>
      <c r="L45" s="32">
        <v>30</v>
      </c>
      <c r="M45" s="32">
        <v>28</v>
      </c>
      <c r="N45" s="32">
        <v>32</v>
      </c>
      <c r="O45" s="32">
        <v>35</v>
      </c>
      <c r="P45" s="32">
        <v>36</v>
      </c>
      <c r="Q45" s="32">
        <v>35</v>
      </c>
      <c r="R45" s="32">
        <v>34</v>
      </c>
      <c r="S45" s="32">
        <v>34.700000000000003</v>
      </c>
      <c r="T45" s="32">
        <v>35.4</v>
      </c>
      <c r="U45" s="32">
        <v>36.1</v>
      </c>
      <c r="V45" s="32">
        <v>36.799999999999997</v>
      </c>
      <c r="W45" s="32">
        <v>37.5</v>
      </c>
      <c r="X45" s="32">
        <v>38.299999999999997</v>
      </c>
      <c r="Y45" s="32">
        <v>39.1</v>
      </c>
      <c r="Z45" s="32">
        <v>39.799999999999997</v>
      </c>
      <c r="AA45" s="32">
        <v>40.6</v>
      </c>
      <c r="AB45" s="32">
        <v>41.4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/>
      <c r="BJ45"/>
      <c r="BK45"/>
      <c r="BL45"/>
      <c r="BM45" s="8"/>
    </row>
    <row r="46" spans="1:65" ht="15" x14ac:dyDescent="0.2">
      <c r="A46" s="7" t="s">
        <v>250</v>
      </c>
      <c r="C46" s="32">
        <v>39</v>
      </c>
      <c r="D46" s="32">
        <v>44</v>
      </c>
      <c r="E46" s="32">
        <v>45</v>
      </c>
      <c r="F46" s="32">
        <v>43</v>
      </c>
      <c r="G46" s="32">
        <v>40</v>
      </c>
      <c r="H46" s="32">
        <v>0</v>
      </c>
      <c r="I46" s="32">
        <v>29</v>
      </c>
      <c r="J46" s="32">
        <v>30</v>
      </c>
      <c r="K46" s="32">
        <v>31</v>
      </c>
      <c r="L46" s="32">
        <v>31</v>
      </c>
      <c r="M46" s="32">
        <v>29</v>
      </c>
      <c r="N46" s="32">
        <v>33</v>
      </c>
      <c r="O46" s="32">
        <v>36</v>
      </c>
      <c r="P46" s="32">
        <v>37</v>
      </c>
      <c r="Q46" s="32">
        <v>63</v>
      </c>
      <c r="R46" s="32">
        <v>69</v>
      </c>
      <c r="S46" s="32">
        <v>63</v>
      </c>
      <c r="T46" s="32">
        <v>57</v>
      </c>
      <c r="U46" s="32">
        <v>52</v>
      </c>
      <c r="V46" s="32">
        <v>53</v>
      </c>
      <c r="W46" s="32">
        <v>54.1</v>
      </c>
      <c r="X46" s="32">
        <v>55.2</v>
      </c>
      <c r="Y46" s="32">
        <v>56.3</v>
      </c>
      <c r="Z46" s="32">
        <v>57.4</v>
      </c>
      <c r="AA46" s="32">
        <v>58.6</v>
      </c>
      <c r="AB46" s="32">
        <v>59.8</v>
      </c>
      <c r="AE46" s="8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 s="8"/>
      <c r="AU46" s="8"/>
      <c r="AV46" s="8"/>
      <c r="AW46"/>
      <c r="AX46"/>
      <c r="AY46"/>
      <c r="AZ46"/>
      <c r="BA46"/>
      <c r="BB46"/>
      <c r="BC46"/>
      <c r="BD46"/>
      <c r="BE46"/>
      <c r="BF46"/>
      <c r="BG46" s="13"/>
    </row>
    <row r="47" spans="1:65" ht="15" x14ac:dyDescent="0.2">
      <c r="A47" s="7" t="s">
        <v>251</v>
      </c>
      <c r="C47" s="32">
        <v>32</v>
      </c>
      <c r="D47" s="32">
        <v>36</v>
      </c>
      <c r="E47" s="32">
        <v>37</v>
      </c>
      <c r="F47" s="32">
        <v>36</v>
      </c>
      <c r="G47" s="32">
        <v>34</v>
      </c>
      <c r="H47" s="32">
        <v>26</v>
      </c>
      <c r="I47" s="32">
        <v>24</v>
      </c>
      <c r="J47" s="32">
        <v>25</v>
      </c>
      <c r="K47" s="32">
        <v>26</v>
      </c>
      <c r="L47" s="32">
        <v>26</v>
      </c>
      <c r="M47" s="32">
        <v>25</v>
      </c>
      <c r="N47" s="32">
        <v>28</v>
      </c>
      <c r="O47" s="32">
        <v>30</v>
      </c>
      <c r="P47" s="32">
        <v>28</v>
      </c>
      <c r="Q47" s="32">
        <v>27</v>
      </c>
      <c r="R47" s="32">
        <v>27</v>
      </c>
      <c r="S47" s="32">
        <v>27.5</v>
      </c>
      <c r="T47" s="32">
        <v>28.1</v>
      </c>
      <c r="U47" s="32">
        <v>28.7</v>
      </c>
      <c r="V47" s="32">
        <v>29.2</v>
      </c>
      <c r="W47" s="32">
        <v>29.8</v>
      </c>
      <c r="X47" s="32">
        <v>30.4</v>
      </c>
      <c r="Y47" s="32">
        <v>31</v>
      </c>
      <c r="Z47" s="32">
        <v>31.6</v>
      </c>
      <c r="AA47" s="32">
        <v>32.299999999999997</v>
      </c>
      <c r="AB47" s="32">
        <v>32.9</v>
      </c>
      <c r="AE47" s="8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8"/>
      <c r="AU47" s="8"/>
      <c r="AV47" s="8"/>
      <c r="AW47" s="8"/>
      <c r="AX47" s="8"/>
      <c r="AY47" s="8"/>
      <c r="AZ47"/>
      <c r="BA47"/>
      <c r="BB47"/>
      <c r="BC47"/>
      <c r="BD47"/>
      <c r="BE47"/>
      <c r="BF47"/>
      <c r="BG47" s="13"/>
    </row>
    <row r="48" spans="1:65" ht="15" x14ac:dyDescent="0.2">
      <c r="A48" s="7" t="s">
        <v>252</v>
      </c>
      <c r="C48" s="32">
        <v>38</v>
      </c>
      <c r="D48" s="32">
        <v>42</v>
      </c>
      <c r="E48" s="32">
        <v>44</v>
      </c>
      <c r="F48" s="32">
        <v>43</v>
      </c>
      <c r="G48" s="32">
        <v>40</v>
      </c>
      <c r="H48" s="32">
        <v>31</v>
      </c>
      <c r="I48" s="32">
        <v>29</v>
      </c>
      <c r="J48" s="32">
        <v>30</v>
      </c>
      <c r="K48" s="32">
        <v>32</v>
      </c>
      <c r="L48" s="32">
        <v>32</v>
      </c>
      <c r="M48" s="32">
        <v>31</v>
      </c>
      <c r="N48" s="32">
        <v>35</v>
      </c>
      <c r="O48" s="32">
        <v>38</v>
      </c>
      <c r="P48" s="32">
        <v>37</v>
      </c>
      <c r="Q48" s="32">
        <v>35</v>
      </c>
      <c r="R48" s="32">
        <v>35</v>
      </c>
      <c r="S48" s="32">
        <v>35.700000000000003</v>
      </c>
      <c r="T48" s="32">
        <v>36.4</v>
      </c>
      <c r="U48" s="32">
        <v>37.1</v>
      </c>
      <c r="V48" s="32">
        <v>37.9</v>
      </c>
      <c r="W48" s="32">
        <v>38.6</v>
      </c>
      <c r="X48" s="32">
        <v>39.4</v>
      </c>
      <c r="Y48" s="32">
        <v>40.200000000000003</v>
      </c>
      <c r="Z48" s="32">
        <v>41</v>
      </c>
      <c r="AA48" s="32">
        <v>41.8</v>
      </c>
      <c r="AB48" s="32">
        <v>42.7</v>
      </c>
      <c r="AE48" s="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s="13"/>
    </row>
    <row r="49" spans="1:59" ht="15" x14ac:dyDescent="0.2">
      <c r="A49" s="7" t="s">
        <v>253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30</v>
      </c>
      <c r="I49" s="32">
        <v>27</v>
      </c>
      <c r="J49" s="32">
        <v>28</v>
      </c>
      <c r="K49" s="32">
        <v>29</v>
      </c>
      <c r="L49" s="32">
        <v>29</v>
      </c>
      <c r="M49" s="32">
        <v>28</v>
      </c>
      <c r="N49" s="32">
        <v>32</v>
      </c>
      <c r="O49" s="32">
        <v>35</v>
      </c>
      <c r="P49" s="32">
        <v>35</v>
      </c>
      <c r="Q49" s="32">
        <v>40</v>
      </c>
      <c r="R49" s="32">
        <v>41</v>
      </c>
      <c r="S49" s="32">
        <v>41.8</v>
      </c>
      <c r="T49" s="32">
        <v>42.7</v>
      </c>
      <c r="U49" s="32">
        <v>43.5</v>
      </c>
      <c r="V49" s="32">
        <v>44.4</v>
      </c>
      <c r="W49" s="32">
        <v>45.2</v>
      </c>
      <c r="X49" s="32">
        <v>46.1</v>
      </c>
      <c r="Y49" s="32">
        <v>47.1</v>
      </c>
      <c r="Z49" s="32">
        <v>48</v>
      </c>
      <c r="AA49" s="32">
        <v>49</v>
      </c>
      <c r="AB49" s="32">
        <v>49.9</v>
      </c>
      <c r="AE49" s="8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 s="13"/>
    </row>
    <row r="50" spans="1:59" ht="15" x14ac:dyDescent="0.2">
      <c r="A50" s="7" t="s">
        <v>254</v>
      </c>
      <c r="C50" s="32">
        <v>34</v>
      </c>
      <c r="D50" s="32">
        <v>38</v>
      </c>
      <c r="E50" s="32">
        <v>40</v>
      </c>
      <c r="F50" s="32">
        <v>39</v>
      </c>
      <c r="G50" s="32">
        <v>37</v>
      </c>
      <c r="H50" s="32">
        <v>28</v>
      </c>
      <c r="I50" s="32">
        <v>25</v>
      </c>
      <c r="J50" s="32">
        <v>26</v>
      </c>
      <c r="K50" s="32">
        <v>27</v>
      </c>
      <c r="L50" s="32">
        <v>28</v>
      </c>
      <c r="M50" s="32">
        <v>27</v>
      </c>
      <c r="N50" s="32">
        <v>31</v>
      </c>
      <c r="O50" s="32">
        <v>34</v>
      </c>
      <c r="P50" s="32">
        <v>32</v>
      </c>
      <c r="Q50" s="32">
        <v>31</v>
      </c>
      <c r="R50" s="32">
        <v>31</v>
      </c>
      <c r="S50" s="32">
        <v>31.6</v>
      </c>
      <c r="T50" s="32">
        <v>32.299999999999997</v>
      </c>
      <c r="U50" s="32">
        <v>32.9</v>
      </c>
      <c r="V50" s="32">
        <v>33.6</v>
      </c>
      <c r="W50" s="32">
        <v>34.200000000000003</v>
      </c>
      <c r="X50" s="32">
        <v>34.9</v>
      </c>
      <c r="Y50" s="32">
        <v>35.6</v>
      </c>
      <c r="Z50" s="32">
        <v>36.299999999999997</v>
      </c>
      <c r="AA50" s="32">
        <v>37</v>
      </c>
      <c r="AB50" s="32">
        <v>37.799999999999997</v>
      </c>
      <c r="AE50" s="8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 s="8"/>
      <c r="AU50" s="8"/>
      <c r="AV50" s="8"/>
      <c r="AW50"/>
      <c r="AX50"/>
      <c r="AY50"/>
      <c r="AZ50"/>
      <c r="BA50"/>
      <c r="BB50"/>
      <c r="BC50"/>
      <c r="BD50"/>
      <c r="BE50"/>
      <c r="BF50"/>
      <c r="BG50" s="13"/>
    </row>
    <row r="51" spans="1:59" ht="15" x14ac:dyDescent="0.2">
      <c r="A51" s="7" t="s">
        <v>248</v>
      </c>
      <c r="C51" s="32">
        <v>36</v>
      </c>
      <c r="D51" s="32">
        <v>40</v>
      </c>
      <c r="E51" s="32">
        <v>41</v>
      </c>
      <c r="F51" s="32">
        <v>40</v>
      </c>
      <c r="G51" s="32">
        <v>38</v>
      </c>
      <c r="H51" s="32">
        <v>29</v>
      </c>
      <c r="I51" s="32">
        <v>27</v>
      </c>
      <c r="J51" s="32">
        <v>28</v>
      </c>
      <c r="K51" s="32">
        <v>29</v>
      </c>
      <c r="L51" s="32">
        <v>29</v>
      </c>
      <c r="M51" s="32">
        <v>28</v>
      </c>
      <c r="N51" s="32">
        <v>32</v>
      </c>
      <c r="O51" s="32">
        <v>35</v>
      </c>
      <c r="P51" s="32">
        <v>35</v>
      </c>
      <c r="Q51" s="32">
        <v>34</v>
      </c>
      <c r="R51" s="32">
        <v>34</v>
      </c>
      <c r="S51" s="32">
        <v>34.700000000000003</v>
      </c>
      <c r="T51" s="32">
        <v>35.4</v>
      </c>
      <c r="U51" s="32">
        <v>36.1</v>
      </c>
      <c r="V51" s="32">
        <v>36.799999999999997</v>
      </c>
      <c r="W51" s="32">
        <v>37.5</v>
      </c>
      <c r="X51" s="32">
        <v>38.299999999999997</v>
      </c>
      <c r="Y51" s="32">
        <v>39.1</v>
      </c>
      <c r="Z51" s="32">
        <v>39.799999999999997</v>
      </c>
      <c r="AA51" s="32">
        <v>40.6</v>
      </c>
      <c r="AB51" s="32">
        <v>41.4</v>
      </c>
      <c r="AE51" s="8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8"/>
      <c r="AV51" s="8"/>
      <c r="AW51"/>
      <c r="AX51"/>
      <c r="AY51"/>
      <c r="AZ51"/>
      <c r="BA51"/>
      <c r="BB51"/>
      <c r="BC51"/>
      <c r="BD51"/>
      <c r="BE51"/>
      <c r="BF51"/>
      <c r="BG51" s="13"/>
    </row>
    <row r="52" spans="1:59" ht="15" x14ac:dyDescent="0.2">
      <c r="A52" s="7" t="s">
        <v>255</v>
      </c>
      <c r="C52" s="32">
        <v>34</v>
      </c>
      <c r="D52" s="32">
        <v>38</v>
      </c>
      <c r="E52" s="32">
        <v>39</v>
      </c>
      <c r="F52" s="32">
        <v>38</v>
      </c>
      <c r="G52" s="32">
        <v>36</v>
      </c>
      <c r="H52" s="32">
        <v>27</v>
      </c>
      <c r="I52" s="32">
        <v>25</v>
      </c>
      <c r="J52" s="32">
        <v>26</v>
      </c>
      <c r="K52" s="32">
        <v>27</v>
      </c>
      <c r="L52" s="32">
        <v>28</v>
      </c>
      <c r="M52" s="32">
        <v>27</v>
      </c>
      <c r="N52" s="32">
        <v>31</v>
      </c>
      <c r="O52" s="32">
        <v>34</v>
      </c>
      <c r="P52" s="32">
        <v>33</v>
      </c>
      <c r="Q52" s="32">
        <v>31</v>
      </c>
      <c r="R52" s="32">
        <v>31</v>
      </c>
      <c r="S52" s="32">
        <v>31.6</v>
      </c>
      <c r="T52" s="32">
        <v>32.299999999999997</v>
      </c>
      <c r="U52" s="32">
        <v>32.9</v>
      </c>
      <c r="V52" s="32">
        <v>33.6</v>
      </c>
      <c r="W52" s="32">
        <v>34.200000000000003</v>
      </c>
      <c r="X52" s="32">
        <v>34.9</v>
      </c>
      <c r="Y52" s="32">
        <v>35.6</v>
      </c>
      <c r="Z52" s="32">
        <v>36.299999999999997</v>
      </c>
      <c r="AA52" s="32">
        <v>37</v>
      </c>
      <c r="AB52" s="32">
        <v>37.799999999999997</v>
      </c>
      <c r="AE52" s="8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s="8"/>
      <c r="AV52" s="8"/>
      <c r="AW52"/>
      <c r="AX52"/>
      <c r="AY52"/>
      <c r="AZ52"/>
      <c r="BA52"/>
      <c r="BB52"/>
      <c r="BC52"/>
      <c r="BD52"/>
      <c r="BE52"/>
      <c r="BF52"/>
      <c r="BG52" s="13"/>
    </row>
    <row r="53" spans="1:59" ht="15" x14ac:dyDescent="0.2">
      <c r="A53" s="7" t="s">
        <v>256</v>
      </c>
      <c r="C53" s="32">
        <v>33</v>
      </c>
      <c r="D53" s="32">
        <v>37</v>
      </c>
      <c r="E53" s="32">
        <v>38</v>
      </c>
      <c r="F53" s="32">
        <v>37</v>
      </c>
      <c r="G53" s="32">
        <v>35</v>
      </c>
      <c r="H53" s="32">
        <v>27</v>
      </c>
      <c r="I53" s="32">
        <v>25</v>
      </c>
      <c r="J53" s="32">
        <v>26</v>
      </c>
      <c r="K53" s="32">
        <v>27</v>
      </c>
      <c r="L53" s="32">
        <v>27</v>
      </c>
      <c r="M53" s="32">
        <v>26</v>
      </c>
      <c r="N53" s="32">
        <v>30</v>
      </c>
      <c r="O53" s="32">
        <v>33</v>
      </c>
      <c r="P53" s="32">
        <v>32</v>
      </c>
      <c r="Q53" s="32">
        <v>30</v>
      </c>
      <c r="R53" s="32">
        <v>30</v>
      </c>
      <c r="S53" s="32">
        <v>30.6</v>
      </c>
      <c r="T53" s="32">
        <v>31.2</v>
      </c>
      <c r="U53" s="32">
        <v>31.8</v>
      </c>
      <c r="V53" s="32">
        <v>32.5</v>
      </c>
      <c r="W53" s="32">
        <v>33.1</v>
      </c>
      <c r="X53" s="32">
        <v>33.799999999999997</v>
      </c>
      <c r="Y53" s="32">
        <v>34.5</v>
      </c>
      <c r="Z53" s="32">
        <v>35.1</v>
      </c>
      <c r="AA53" s="32">
        <v>35.9</v>
      </c>
      <c r="AB53" s="32">
        <v>36.6</v>
      </c>
      <c r="AE53" s="8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 s="8"/>
      <c r="AV53" s="8"/>
      <c r="AW53"/>
      <c r="AX53"/>
      <c r="AY53"/>
      <c r="AZ53"/>
      <c r="BA53"/>
      <c r="BB53"/>
      <c r="BC53"/>
      <c r="BD53"/>
      <c r="BE53"/>
      <c r="BF53"/>
      <c r="BG53" s="13"/>
    </row>
    <row r="54" spans="1:59" ht="15" x14ac:dyDescent="0.2">
      <c r="A54" s="7" t="s">
        <v>137</v>
      </c>
      <c r="C54" s="32" t="s">
        <v>133</v>
      </c>
      <c r="D54" s="32">
        <v>55</v>
      </c>
      <c r="E54" s="32">
        <v>65</v>
      </c>
      <c r="F54" s="32">
        <v>72</v>
      </c>
      <c r="G54" s="32">
        <v>70</v>
      </c>
      <c r="H54" s="32">
        <v>67</v>
      </c>
      <c r="I54" s="32">
        <v>59</v>
      </c>
      <c r="J54" s="32">
        <v>60</v>
      </c>
      <c r="K54" s="32">
        <v>61</v>
      </c>
      <c r="L54" s="32">
        <v>63</v>
      </c>
      <c r="M54" s="32">
        <v>66</v>
      </c>
      <c r="N54" s="32">
        <v>73</v>
      </c>
      <c r="O54" s="32">
        <v>84</v>
      </c>
      <c r="P54" s="32">
        <v>83</v>
      </c>
      <c r="Q54" s="32">
        <v>82</v>
      </c>
      <c r="R54" s="32">
        <v>81</v>
      </c>
      <c r="S54" s="32">
        <v>80</v>
      </c>
      <c r="T54" s="32">
        <v>79</v>
      </c>
      <c r="U54" s="32">
        <v>78</v>
      </c>
      <c r="V54" s="32">
        <v>77</v>
      </c>
      <c r="W54" s="32">
        <v>78.5</v>
      </c>
      <c r="X54" s="32">
        <v>80.099999999999994</v>
      </c>
      <c r="Y54" s="32">
        <v>81.7</v>
      </c>
      <c r="Z54" s="32">
        <v>83.3</v>
      </c>
      <c r="AA54" s="32">
        <v>85</v>
      </c>
      <c r="AB54" s="32">
        <v>86.7</v>
      </c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/>
      <c r="BF54"/>
      <c r="BG54" s="13"/>
    </row>
    <row r="55" spans="1:59" ht="15" x14ac:dyDescent="0.2">
      <c r="A55" s="7" t="s">
        <v>138</v>
      </c>
      <c r="C55" s="32">
        <v>41</v>
      </c>
      <c r="D55" s="32">
        <v>47</v>
      </c>
      <c r="E55" s="32">
        <v>49</v>
      </c>
      <c r="F55" s="32">
        <v>45</v>
      </c>
      <c r="G55" s="32">
        <v>39</v>
      </c>
      <c r="H55" s="32">
        <v>33.700000000000003</v>
      </c>
      <c r="I55" s="32">
        <v>31</v>
      </c>
      <c r="J55" s="32">
        <v>32</v>
      </c>
      <c r="K55" s="32">
        <v>39</v>
      </c>
      <c r="L55" s="32">
        <v>43</v>
      </c>
      <c r="M55" s="32">
        <v>46</v>
      </c>
      <c r="N55" s="32">
        <v>55</v>
      </c>
      <c r="O55" s="32">
        <v>71</v>
      </c>
      <c r="P55" s="32">
        <v>66</v>
      </c>
      <c r="Q55" s="32">
        <v>71</v>
      </c>
      <c r="R55" s="32">
        <v>82</v>
      </c>
      <c r="S55" s="32">
        <v>75</v>
      </c>
      <c r="T55" s="32">
        <v>72</v>
      </c>
      <c r="U55" s="32">
        <v>70</v>
      </c>
      <c r="V55" s="32">
        <v>69</v>
      </c>
      <c r="W55" s="32">
        <v>70.400000000000006</v>
      </c>
      <c r="X55" s="32">
        <v>71.8</v>
      </c>
      <c r="Y55" s="32">
        <v>73.2</v>
      </c>
      <c r="Z55" s="32">
        <v>74.7</v>
      </c>
      <c r="AA55" s="32">
        <v>76.2</v>
      </c>
      <c r="AB55" s="32">
        <v>77.7</v>
      </c>
      <c r="AD55" s="8"/>
      <c r="AE55"/>
      <c r="AF55"/>
      <c r="AG55"/>
      <c r="AH55"/>
      <c r="AI55"/>
      <c r="AJ55"/>
      <c r="AK55"/>
      <c r="AL55"/>
      <c r="AM55"/>
      <c r="AN55"/>
      <c r="AO55"/>
      <c r="AP55"/>
      <c r="AQ55" s="8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1:59" ht="15" x14ac:dyDescent="0.2">
      <c r="A56" s="7" t="s">
        <v>146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67</v>
      </c>
      <c r="O56" s="32">
        <v>64</v>
      </c>
      <c r="P56" s="32">
        <v>54</v>
      </c>
      <c r="Q56" s="32">
        <v>52</v>
      </c>
      <c r="R56" s="32">
        <v>47</v>
      </c>
      <c r="S56" s="32">
        <v>49</v>
      </c>
      <c r="T56" s="32">
        <v>49</v>
      </c>
      <c r="U56" s="32">
        <v>49</v>
      </c>
      <c r="V56" s="32">
        <v>50</v>
      </c>
      <c r="W56" s="32">
        <v>51</v>
      </c>
      <c r="X56" s="32">
        <v>52</v>
      </c>
      <c r="Y56" s="32">
        <v>53</v>
      </c>
      <c r="Z56" s="32">
        <v>54.1</v>
      </c>
      <c r="AA56" s="32">
        <v>55.2</v>
      </c>
      <c r="AB56" s="32">
        <v>56.3</v>
      </c>
      <c r="AD56" s="8"/>
      <c r="AE56"/>
      <c r="AF56"/>
      <c r="AG56"/>
      <c r="AH56"/>
      <c r="AI56"/>
      <c r="AJ56"/>
      <c r="AK56"/>
      <c r="AL56"/>
      <c r="AM56"/>
      <c r="AN56"/>
      <c r="AO56"/>
      <c r="AP56"/>
      <c r="AQ56" s="8"/>
      <c r="AR56"/>
      <c r="AS56" s="8"/>
      <c r="AT56" s="8"/>
      <c r="AU56"/>
      <c r="AV56"/>
      <c r="AW56"/>
      <c r="AX56"/>
      <c r="AY56"/>
      <c r="AZ56"/>
      <c r="BA56"/>
      <c r="BB56"/>
      <c r="BC56"/>
      <c r="BD56"/>
    </row>
    <row r="57" spans="1:59" ht="15" x14ac:dyDescent="0.2">
      <c r="A57" s="7" t="s">
        <v>139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100</v>
      </c>
      <c r="O57" s="32">
        <v>110</v>
      </c>
      <c r="P57" s="32">
        <v>0</v>
      </c>
      <c r="Q57" s="32">
        <v>0</v>
      </c>
      <c r="R57" s="32">
        <v>72</v>
      </c>
      <c r="S57" s="32">
        <v>68</v>
      </c>
      <c r="T57" s="32">
        <v>65</v>
      </c>
      <c r="U57" s="32">
        <v>63</v>
      </c>
      <c r="V57" s="32">
        <v>62</v>
      </c>
      <c r="W57" s="32">
        <v>63.2</v>
      </c>
      <c r="X57" s="32">
        <v>64.5</v>
      </c>
      <c r="Y57" s="32">
        <v>65.8</v>
      </c>
      <c r="Z57" s="32">
        <v>67.099999999999994</v>
      </c>
      <c r="AA57" s="32">
        <v>68.400000000000006</v>
      </c>
      <c r="AB57" s="32">
        <v>69.8</v>
      </c>
      <c r="AD57" s="8"/>
      <c r="AE57"/>
      <c r="AF57"/>
      <c r="AG57"/>
      <c r="AH57"/>
      <c r="AI57"/>
      <c r="AJ57"/>
      <c r="AK57"/>
      <c r="AL57"/>
      <c r="AM57"/>
      <c r="AN57"/>
      <c r="AO57"/>
      <c r="AP57" s="8"/>
      <c r="AQ57"/>
      <c r="AR57"/>
      <c r="AS57"/>
      <c r="AT57"/>
      <c r="AU57" s="8"/>
      <c r="AV57"/>
      <c r="AW57"/>
      <c r="AX57"/>
      <c r="AY57"/>
      <c r="AZ57"/>
      <c r="BA57"/>
      <c r="BB57"/>
      <c r="BC57"/>
      <c r="BD57"/>
    </row>
    <row r="58" spans="1:59" ht="15" x14ac:dyDescent="0.2">
      <c r="A58" s="7" t="s">
        <v>140</v>
      </c>
      <c r="C58" s="32">
        <v>38</v>
      </c>
      <c r="D58" s="32">
        <v>40</v>
      </c>
      <c r="E58" s="32">
        <v>42</v>
      </c>
      <c r="F58" s="32">
        <v>40</v>
      </c>
      <c r="G58" s="32">
        <v>43</v>
      </c>
      <c r="H58" s="32">
        <v>35</v>
      </c>
      <c r="I58" s="32">
        <v>25</v>
      </c>
      <c r="J58" s="32">
        <v>30</v>
      </c>
      <c r="K58" s="32">
        <v>32</v>
      </c>
      <c r="L58" s="32">
        <v>34</v>
      </c>
      <c r="M58" s="32">
        <v>35</v>
      </c>
      <c r="N58" s="32">
        <v>40</v>
      </c>
      <c r="O58" s="32">
        <v>44</v>
      </c>
      <c r="P58" s="32">
        <v>46</v>
      </c>
      <c r="Q58" s="32">
        <v>48</v>
      </c>
      <c r="R58" s="32">
        <v>52</v>
      </c>
      <c r="S58" s="32">
        <v>50</v>
      </c>
      <c r="T58" s="32">
        <v>49</v>
      </c>
      <c r="U58" s="32">
        <v>48</v>
      </c>
      <c r="V58" s="32">
        <v>48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v>0</v>
      </c>
      <c r="AD58" s="8"/>
      <c r="AE58"/>
      <c r="AF58"/>
      <c r="AG58"/>
      <c r="AH58"/>
      <c r="AI58"/>
      <c r="AJ58"/>
      <c r="AK58"/>
      <c r="AL58"/>
      <c r="AM58"/>
      <c r="AN58"/>
      <c r="AO58"/>
      <c r="AP58" s="8"/>
      <c r="AQ58" s="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1:59" ht="15" x14ac:dyDescent="0.2">
      <c r="A59" s="7" t="s">
        <v>141</v>
      </c>
      <c r="C59" s="32">
        <v>0</v>
      </c>
      <c r="D59" s="32">
        <v>0</v>
      </c>
      <c r="E59" s="32">
        <v>65</v>
      </c>
      <c r="F59" s="32">
        <v>60</v>
      </c>
      <c r="G59" s="32">
        <v>58</v>
      </c>
      <c r="H59" s="32">
        <v>60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58</v>
      </c>
      <c r="O59" s="32">
        <v>57</v>
      </c>
      <c r="P59" s="32">
        <v>55</v>
      </c>
      <c r="Q59" s="32">
        <v>54</v>
      </c>
      <c r="R59" s="32">
        <v>55</v>
      </c>
      <c r="S59" s="32">
        <v>53</v>
      </c>
      <c r="T59" s="32">
        <v>52</v>
      </c>
      <c r="U59" s="32">
        <v>51</v>
      </c>
      <c r="V59" s="32">
        <v>50</v>
      </c>
      <c r="W59" s="32">
        <v>51</v>
      </c>
      <c r="X59" s="32">
        <v>52</v>
      </c>
      <c r="Y59" s="32">
        <v>53.1</v>
      </c>
      <c r="Z59" s="32">
        <v>54.1</v>
      </c>
      <c r="AA59" s="32">
        <v>55.2</v>
      </c>
      <c r="AB59" s="32">
        <v>56.3</v>
      </c>
      <c r="AD59" s="8"/>
      <c r="AE59"/>
      <c r="AF59"/>
      <c r="AG59" s="8"/>
      <c r="AH59" s="8"/>
      <c r="AI59" s="8"/>
      <c r="AJ59" s="8"/>
      <c r="AK59" s="8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1:59" ht="15" x14ac:dyDescent="0.2">
      <c r="A60" s="7" t="s">
        <v>142</v>
      </c>
      <c r="C60" s="32">
        <v>55</v>
      </c>
      <c r="D60" s="32">
        <v>39</v>
      </c>
      <c r="E60" s="32">
        <v>45</v>
      </c>
      <c r="F60" s="32">
        <v>44</v>
      </c>
      <c r="G60" s="32">
        <v>45</v>
      </c>
      <c r="H60" s="32">
        <v>0</v>
      </c>
      <c r="I60" s="32">
        <v>46</v>
      </c>
      <c r="J60" s="32">
        <v>47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D60" s="8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1:59" ht="15" x14ac:dyDescent="0.2">
      <c r="A61" s="7" t="s">
        <v>143</v>
      </c>
      <c r="C61" s="32">
        <v>0</v>
      </c>
      <c r="D61" s="32">
        <v>0</v>
      </c>
      <c r="E61" s="32">
        <v>0</v>
      </c>
      <c r="F61" s="32">
        <v>0</v>
      </c>
      <c r="G61" s="32">
        <v>55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57</v>
      </c>
      <c r="N61" s="32">
        <v>59</v>
      </c>
      <c r="O61" s="32">
        <v>0</v>
      </c>
      <c r="P61" s="32">
        <v>0</v>
      </c>
      <c r="Q61" s="32">
        <v>0</v>
      </c>
      <c r="R61" s="32">
        <v>70</v>
      </c>
      <c r="S61" s="32">
        <v>75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D61" s="8"/>
      <c r="AE61"/>
      <c r="AF61" s="8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1:59" ht="15" x14ac:dyDescent="0.2">
      <c r="A62" s="7" t="s">
        <v>144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 t="s">
        <v>133</v>
      </c>
      <c r="R62" s="32">
        <v>0</v>
      </c>
      <c r="S62" s="32">
        <v>55</v>
      </c>
      <c r="T62" s="32">
        <v>53</v>
      </c>
      <c r="U62" s="32">
        <v>52</v>
      </c>
      <c r="V62" s="32">
        <v>52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D62" s="8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1:59" ht="15" x14ac:dyDescent="0.2">
      <c r="A63" s="7" t="s">
        <v>145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65</v>
      </c>
      <c r="T63" s="32">
        <v>60</v>
      </c>
      <c r="U63" s="32">
        <v>58</v>
      </c>
      <c r="V63" s="32">
        <v>58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D63" s="8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1:59" ht="15" x14ac:dyDescent="0.2">
      <c r="A64" s="7" t="s">
        <v>316</v>
      </c>
      <c r="C64" s="32">
        <v>39</v>
      </c>
      <c r="D64" s="32">
        <v>43</v>
      </c>
      <c r="E64" s="32">
        <v>47</v>
      </c>
      <c r="F64" s="32">
        <v>44</v>
      </c>
      <c r="G64" s="32">
        <v>36</v>
      </c>
      <c r="H64" s="32">
        <v>27</v>
      </c>
      <c r="I64" s="32">
        <v>24</v>
      </c>
      <c r="J64" s="32">
        <v>26</v>
      </c>
      <c r="K64" s="32">
        <v>28</v>
      </c>
      <c r="L64" s="32">
        <v>29</v>
      </c>
      <c r="M64" s="32">
        <v>28</v>
      </c>
      <c r="N64" s="32">
        <v>35</v>
      </c>
      <c r="O64" s="32">
        <v>42</v>
      </c>
      <c r="P64" s="32">
        <v>44</v>
      </c>
      <c r="Q64" s="32">
        <v>46</v>
      </c>
      <c r="R64" s="32">
        <v>47</v>
      </c>
      <c r="S64" s="32">
        <v>47.9</v>
      </c>
      <c r="T64" s="32">
        <v>48.9</v>
      </c>
      <c r="U64" s="32">
        <v>49.9</v>
      </c>
      <c r="V64" s="32">
        <v>50.9</v>
      </c>
      <c r="W64" s="32">
        <v>51.9</v>
      </c>
      <c r="X64" s="32">
        <v>52.9</v>
      </c>
      <c r="Y64" s="32">
        <v>54</v>
      </c>
      <c r="Z64" s="32">
        <v>55.1</v>
      </c>
      <c r="AA64" s="32">
        <v>56.2</v>
      </c>
      <c r="AB64" s="32">
        <v>57.3</v>
      </c>
      <c r="AC64" s="8"/>
      <c r="AD64" s="8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1:44" ht="15" x14ac:dyDescent="0.2">
      <c r="A65" s="7" t="s">
        <v>289</v>
      </c>
      <c r="C65" s="32">
        <v>34</v>
      </c>
      <c r="D65" s="32">
        <v>39</v>
      </c>
      <c r="E65" s="32">
        <v>43</v>
      </c>
      <c r="F65" s="32">
        <v>42</v>
      </c>
      <c r="G65" s="32">
        <v>39</v>
      </c>
      <c r="H65" s="32">
        <v>31</v>
      </c>
      <c r="I65" s="32">
        <v>27.5</v>
      </c>
      <c r="J65" s="32">
        <v>28.5</v>
      </c>
      <c r="K65" s="32">
        <v>28.5</v>
      </c>
      <c r="L65" s="32">
        <v>28</v>
      </c>
      <c r="M65" s="32">
        <v>27</v>
      </c>
      <c r="N65" s="32">
        <v>33</v>
      </c>
      <c r="O65" s="32">
        <v>33.5</v>
      </c>
      <c r="P65" s="32">
        <v>37.200000000000003</v>
      </c>
      <c r="Q65" s="32">
        <v>38.200000000000003</v>
      </c>
      <c r="R65" s="32">
        <v>40.799999999999997</v>
      </c>
      <c r="S65" s="32">
        <v>45.4</v>
      </c>
      <c r="T65" s="32">
        <v>46.3</v>
      </c>
      <c r="U65" s="32">
        <v>47.2</v>
      </c>
      <c r="V65" s="32">
        <v>48.2</v>
      </c>
      <c r="W65" s="32">
        <v>49.1</v>
      </c>
      <c r="X65" s="32">
        <v>50.1</v>
      </c>
      <c r="Y65" s="32">
        <v>51.1</v>
      </c>
      <c r="Z65" s="32">
        <v>52.1</v>
      </c>
      <c r="AA65" s="32">
        <v>53.2</v>
      </c>
      <c r="AB65" s="32">
        <v>54.2</v>
      </c>
      <c r="AC65" s="8"/>
      <c r="AD65" s="8"/>
      <c r="AE65" s="8"/>
      <c r="AF65" s="8"/>
      <c r="AG65" s="8"/>
      <c r="AH65" s="8"/>
      <c r="AI65" s="8"/>
      <c r="AJ65" s="8"/>
      <c r="AK65" s="8"/>
    </row>
    <row r="66" spans="1:44" ht="15" x14ac:dyDescent="0.2">
      <c r="A66" s="7" t="s">
        <v>292</v>
      </c>
      <c r="C66" s="32">
        <v>0</v>
      </c>
      <c r="D66" s="32">
        <v>55</v>
      </c>
      <c r="E66" s="32">
        <v>50</v>
      </c>
      <c r="F66" s="32">
        <v>47</v>
      </c>
      <c r="G66" s="32">
        <v>45</v>
      </c>
      <c r="H66" s="32">
        <v>36</v>
      </c>
      <c r="I66" s="32">
        <v>33</v>
      </c>
      <c r="J66" s="32">
        <v>34</v>
      </c>
      <c r="K66" s="32">
        <v>35</v>
      </c>
      <c r="L66" s="32">
        <v>36</v>
      </c>
      <c r="M66" s="32">
        <v>37</v>
      </c>
      <c r="N66" s="32">
        <v>39</v>
      </c>
      <c r="O66" s="32">
        <v>42</v>
      </c>
      <c r="P66" s="32">
        <v>43</v>
      </c>
      <c r="Q66" s="32">
        <v>46</v>
      </c>
      <c r="R66" s="32">
        <v>48</v>
      </c>
      <c r="S66" s="32">
        <v>42</v>
      </c>
      <c r="T66" s="32">
        <v>40</v>
      </c>
      <c r="U66" s="32">
        <v>39</v>
      </c>
      <c r="V66" s="32">
        <v>39</v>
      </c>
      <c r="W66" s="32">
        <v>39.799999999999997</v>
      </c>
      <c r="X66" s="32">
        <v>40.6</v>
      </c>
      <c r="Y66" s="32">
        <v>41.4</v>
      </c>
      <c r="Z66" s="32">
        <v>42.2</v>
      </c>
      <c r="AA66" s="32">
        <v>43.1</v>
      </c>
      <c r="AB66" s="32">
        <v>44</v>
      </c>
      <c r="AC66"/>
      <c r="AD66"/>
      <c r="AE66"/>
      <c r="AF66"/>
      <c r="AG66"/>
      <c r="AH66"/>
      <c r="AI66"/>
      <c r="AJ66"/>
      <c r="AK66"/>
    </row>
    <row r="67" spans="1:44" x14ac:dyDescent="0.2">
      <c r="A67" s="7" t="s">
        <v>298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80</v>
      </c>
      <c r="I67" s="32">
        <v>43.2</v>
      </c>
      <c r="J67" s="32">
        <v>60.2</v>
      </c>
      <c r="K67" s="32">
        <v>45.5</v>
      </c>
      <c r="L67" s="32">
        <v>57.8</v>
      </c>
      <c r="M67" s="32">
        <v>54</v>
      </c>
      <c r="N67" s="32">
        <v>58</v>
      </c>
      <c r="O67" s="32">
        <v>62</v>
      </c>
      <c r="P67" s="32">
        <v>63</v>
      </c>
      <c r="Q67" s="32">
        <v>60</v>
      </c>
      <c r="R67" s="32">
        <v>64</v>
      </c>
      <c r="S67" s="32">
        <v>66</v>
      </c>
      <c r="T67" s="32">
        <v>67.3</v>
      </c>
      <c r="U67" s="32">
        <v>68.599999999999994</v>
      </c>
      <c r="V67" s="32">
        <v>70</v>
      </c>
      <c r="W67" s="32">
        <v>62</v>
      </c>
      <c r="X67" s="32">
        <v>52</v>
      </c>
      <c r="Y67" s="32">
        <v>42</v>
      </c>
      <c r="Z67" s="32">
        <v>35</v>
      </c>
      <c r="AA67" s="32">
        <v>35.700000000000003</v>
      </c>
      <c r="AB67" s="32">
        <v>36.4</v>
      </c>
    </row>
    <row r="68" spans="1:44" ht="15" x14ac:dyDescent="0.2">
      <c r="A68" s="7" t="s">
        <v>301</v>
      </c>
      <c r="C68" s="32">
        <v>94</v>
      </c>
      <c r="D68" s="32">
        <v>108</v>
      </c>
      <c r="E68" s="32">
        <v>125</v>
      </c>
      <c r="F68" s="32">
        <v>118</v>
      </c>
      <c r="G68" s="32">
        <v>124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66.3</v>
      </c>
      <c r="N68" s="32">
        <v>85.5</v>
      </c>
      <c r="O68" s="32">
        <v>88.3</v>
      </c>
      <c r="P68" s="32">
        <v>75.900000000000006</v>
      </c>
      <c r="Q68" s="32">
        <v>84</v>
      </c>
      <c r="R68" s="32">
        <v>82</v>
      </c>
      <c r="S68" s="32">
        <v>76</v>
      </c>
      <c r="T68" s="32">
        <v>68</v>
      </c>
      <c r="U68" s="32">
        <v>60</v>
      </c>
      <c r="V68" s="32">
        <v>54</v>
      </c>
      <c r="W68" s="32">
        <v>50</v>
      </c>
      <c r="X68" s="32">
        <v>51</v>
      </c>
      <c r="Y68" s="32">
        <v>52</v>
      </c>
      <c r="Z68" s="32">
        <v>53.1</v>
      </c>
      <c r="AA68" s="32">
        <v>54.1</v>
      </c>
      <c r="AB68" s="32">
        <v>55.2</v>
      </c>
      <c r="AC68" s="8"/>
      <c r="AD68" s="8"/>
      <c r="AE68" s="8"/>
      <c r="AF68" s="8"/>
      <c r="AG68" s="8"/>
      <c r="AH68" s="8"/>
      <c r="AI68" s="8"/>
    </row>
    <row r="69" spans="1:44" ht="15" x14ac:dyDescent="0.2">
      <c r="A69" s="7" t="s">
        <v>303</v>
      </c>
      <c r="C69" s="32">
        <v>0</v>
      </c>
      <c r="D69" s="32">
        <v>0</v>
      </c>
      <c r="E69" s="32">
        <v>0</v>
      </c>
      <c r="F69" s="32">
        <v>0</v>
      </c>
      <c r="G69" s="32">
        <v>105</v>
      </c>
      <c r="H69" s="32">
        <v>68</v>
      </c>
      <c r="I69" s="32">
        <v>67</v>
      </c>
      <c r="J69" s="32">
        <v>66</v>
      </c>
      <c r="K69" s="32">
        <v>68</v>
      </c>
      <c r="L69" s="32">
        <v>79</v>
      </c>
      <c r="M69" s="32">
        <v>100</v>
      </c>
      <c r="N69" s="32">
        <v>94</v>
      </c>
      <c r="O69" s="32">
        <v>88</v>
      </c>
      <c r="P69" s="32">
        <v>92</v>
      </c>
      <c r="Q69" s="32">
        <v>82</v>
      </c>
      <c r="R69" s="32">
        <v>80</v>
      </c>
      <c r="S69" s="32">
        <v>78</v>
      </c>
      <c r="T69" s="32">
        <v>76</v>
      </c>
      <c r="U69" s="32">
        <v>75</v>
      </c>
      <c r="V69" s="32">
        <v>76.5</v>
      </c>
      <c r="W69" s="32">
        <v>78</v>
      </c>
      <c r="X69" s="32">
        <v>79.599999999999994</v>
      </c>
      <c r="Y69" s="32">
        <v>81.2</v>
      </c>
      <c r="Z69" s="32">
        <v>82.8</v>
      </c>
      <c r="AA69" s="32">
        <v>84.5</v>
      </c>
      <c r="AB69" s="32">
        <v>86.2</v>
      </c>
      <c r="AC69" s="8"/>
      <c r="AD69" s="8"/>
      <c r="AE69" s="8"/>
      <c r="AF69" s="8"/>
      <c r="AG69" s="8"/>
      <c r="AH69" s="8"/>
      <c r="AI69" s="8"/>
    </row>
    <row r="70" spans="1:44" x14ac:dyDescent="0.2">
      <c r="A70" s="7" t="s">
        <v>305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58</v>
      </c>
      <c r="M70" s="32">
        <v>55</v>
      </c>
      <c r="N70" s="32">
        <v>57</v>
      </c>
      <c r="O70" s="32">
        <v>61</v>
      </c>
      <c r="P70" s="32">
        <v>65</v>
      </c>
      <c r="Q70" s="32">
        <v>77</v>
      </c>
      <c r="R70" s="32">
        <v>65.5</v>
      </c>
      <c r="S70" s="32">
        <v>68</v>
      </c>
      <c r="T70" s="32">
        <v>66</v>
      </c>
      <c r="U70" s="32">
        <v>64</v>
      </c>
      <c r="V70" s="32">
        <v>63</v>
      </c>
      <c r="W70" s="32">
        <v>64.3</v>
      </c>
      <c r="X70" s="32">
        <v>65.5</v>
      </c>
      <c r="Y70" s="32">
        <v>66.900000000000006</v>
      </c>
      <c r="Z70" s="32">
        <v>68.2</v>
      </c>
      <c r="AA70" s="32">
        <v>69.599999999999994</v>
      </c>
      <c r="AB70" s="32">
        <v>70.900000000000006</v>
      </c>
    </row>
    <row r="71" spans="1:44" x14ac:dyDescent="0.2">
      <c r="A71" s="7" t="s">
        <v>309</v>
      </c>
      <c r="C71" s="32">
        <v>45</v>
      </c>
      <c r="D71" s="32">
        <v>47</v>
      </c>
      <c r="E71" s="32">
        <v>46</v>
      </c>
      <c r="F71" s="32">
        <v>45</v>
      </c>
      <c r="G71" s="32">
        <v>42</v>
      </c>
      <c r="H71" s="32">
        <v>37</v>
      </c>
      <c r="I71" s="32">
        <v>36</v>
      </c>
      <c r="J71" s="32">
        <v>37</v>
      </c>
      <c r="K71" s="32">
        <v>40</v>
      </c>
      <c r="L71" s="32">
        <v>42</v>
      </c>
      <c r="M71" s="32">
        <v>42.5</v>
      </c>
      <c r="N71" s="32">
        <v>52</v>
      </c>
      <c r="O71" s="32">
        <v>47.3</v>
      </c>
      <c r="P71" s="32">
        <v>44.4</v>
      </c>
      <c r="Q71" s="32">
        <v>51</v>
      </c>
      <c r="R71" s="32">
        <v>55.5</v>
      </c>
      <c r="S71" s="32">
        <v>82.5</v>
      </c>
      <c r="T71" s="32">
        <v>74</v>
      </c>
      <c r="U71" s="32">
        <v>66</v>
      </c>
      <c r="V71" s="32">
        <v>60</v>
      </c>
      <c r="W71" s="32">
        <v>57</v>
      </c>
      <c r="X71" s="32">
        <v>58.1</v>
      </c>
      <c r="Y71" s="32">
        <v>59.3</v>
      </c>
      <c r="Z71" s="32">
        <v>60.5</v>
      </c>
      <c r="AA71" s="32">
        <v>61.7</v>
      </c>
      <c r="AB71" s="32">
        <v>62.9</v>
      </c>
    </row>
    <row r="72" spans="1:44" x14ac:dyDescent="0.2">
      <c r="A72" s="7" t="s">
        <v>313</v>
      </c>
      <c r="C72" s="32">
        <v>106</v>
      </c>
      <c r="D72" s="32">
        <v>98.7</v>
      </c>
      <c r="E72" s="32">
        <v>79</v>
      </c>
      <c r="F72" s="32">
        <v>84.6</v>
      </c>
      <c r="G72" s="32">
        <v>67.7</v>
      </c>
      <c r="H72" s="32">
        <v>55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72</v>
      </c>
      <c r="U72" s="32">
        <v>61</v>
      </c>
      <c r="V72" s="32">
        <v>55</v>
      </c>
      <c r="W72" s="32">
        <v>52.5</v>
      </c>
      <c r="X72" s="32">
        <v>53.6</v>
      </c>
      <c r="Y72" s="32">
        <v>54.6</v>
      </c>
      <c r="Z72" s="32">
        <v>55.7</v>
      </c>
      <c r="AA72" s="32">
        <v>56.8</v>
      </c>
      <c r="AB72" s="32">
        <v>58</v>
      </c>
    </row>
    <row r="73" spans="1:44" ht="15" x14ac:dyDescent="0.2">
      <c r="A73" s="7" t="s">
        <v>328</v>
      </c>
      <c r="C73" s="38">
        <v>43</v>
      </c>
      <c r="D73" s="38">
        <v>47</v>
      </c>
      <c r="E73" s="38">
        <v>51</v>
      </c>
      <c r="F73" s="38">
        <v>54</v>
      </c>
      <c r="G73" s="38">
        <v>52</v>
      </c>
      <c r="H73" s="38">
        <v>45</v>
      </c>
      <c r="I73" s="38">
        <v>39</v>
      </c>
      <c r="J73" s="38">
        <v>40</v>
      </c>
      <c r="K73" s="38">
        <v>41</v>
      </c>
      <c r="L73" s="38">
        <v>42</v>
      </c>
      <c r="M73" s="38">
        <v>40</v>
      </c>
      <c r="N73" s="38">
        <v>43</v>
      </c>
      <c r="O73" s="38">
        <v>49</v>
      </c>
      <c r="P73" s="38">
        <v>47</v>
      </c>
      <c r="Q73" s="38">
        <v>45</v>
      </c>
      <c r="R73" s="38">
        <v>43</v>
      </c>
      <c r="S73" s="38">
        <v>42</v>
      </c>
      <c r="T73" s="38">
        <v>42.8</v>
      </c>
      <c r="U73" s="38">
        <v>43.7</v>
      </c>
      <c r="V73" s="38">
        <v>44.5</v>
      </c>
      <c r="W73" s="38">
        <v>45.4</v>
      </c>
      <c r="X73" s="38">
        <v>46.3</v>
      </c>
      <c r="Y73" s="38">
        <v>47.2</v>
      </c>
      <c r="Z73" s="38">
        <v>48.2</v>
      </c>
      <c r="AA73" s="38">
        <v>49.1</v>
      </c>
      <c r="AB73" s="38">
        <v>50.1</v>
      </c>
      <c r="AC73" s="8"/>
      <c r="AD73" s="8"/>
      <c r="AE73" s="8"/>
      <c r="AF73" s="8"/>
      <c r="AG73" s="8"/>
      <c r="AH73" s="8"/>
      <c r="AI73" s="8"/>
    </row>
    <row r="74" spans="1:44" ht="15" x14ac:dyDescent="0.2"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44" ht="15" x14ac:dyDescent="0.2"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spans="1:44" ht="1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</row>
    <row r="77" spans="1:44" ht="15" x14ac:dyDescent="0.2">
      <c r="A77" s="8"/>
      <c r="B77" s="8"/>
      <c r="C7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13"/>
    </row>
    <row r="78" spans="1:44" ht="16" x14ac:dyDescent="0.2"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14"/>
      <c r="AK78" s="14"/>
      <c r="AL78" s="14"/>
      <c r="AM78" s="14"/>
    </row>
    <row r="79" spans="1:44" ht="15" x14ac:dyDescent="0.2">
      <c r="E79" s="8"/>
      <c r="F79"/>
      <c r="G79"/>
      <c r="H79"/>
      <c r="I7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3"/>
      <c r="AH79" s="8"/>
      <c r="AI79" s="8"/>
      <c r="AJ79" s="8"/>
      <c r="AK79" s="8"/>
      <c r="AL79" s="8"/>
      <c r="AM79" s="8"/>
      <c r="AN79" s="8"/>
    </row>
    <row r="80" spans="1:44" ht="15" x14ac:dyDescent="0.2">
      <c r="L80" s="8"/>
      <c r="M80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13"/>
    </row>
    <row r="81" spans="3:47" ht="16" x14ac:dyDescent="0.2">
      <c r="N81" s="39"/>
      <c r="O81" s="39"/>
      <c r="P81" s="39"/>
      <c r="Q81" s="39"/>
      <c r="R81" s="14"/>
      <c r="S81" s="14"/>
      <c r="T81" s="14"/>
      <c r="U81" s="14"/>
      <c r="V81" s="14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</row>
    <row r="82" spans="3:47" ht="16" x14ac:dyDescent="0.2">
      <c r="N82" s="14"/>
      <c r="O82" s="14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</row>
    <row r="83" spans="3:47" ht="15" x14ac:dyDescent="0.2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</row>
    <row r="84" spans="3:47" ht="15" x14ac:dyDescent="0.2">
      <c r="C84"/>
      <c r="D84"/>
      <c r="E84"/>
      <c r="F84"/>
      <c r="G84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39"/>
      <c r="AL84" s="39"/>
      <c r="AM84" s="39"/>
    </row>
    <row r="85" spans="3:47" ht="15" x14ac:dyDescent="0.2">
      <c r="H85" s="8"/>
      <c r="I85"/>
      <c r="J85"/>
      <c r="K85"/>
      <c r="L85"/>
      <c r="M85" s="8"/>
      <c r="N85" s="8"/>
      <c r="O85"/>
      <c r="P85"/>
      <c r="Q85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13"/>
      <c r="AK85" s="39"/>
      <c r="AL85" s="39"/>
      <c r="AM85" s="39"/>
    </row>
    <row r="86" spans="3:47" ht="15" x14ac:dyDescent="0.2">
      <c r="H86" s="8"/>
      <c r="I8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13"/>
    </row>
    <row r="87" spans="3:47" ht="15" x14ac:dyDescent="0.2">
      <c r="H87" s="8"/>
      <c r="I87"/>
      <c r="J87" s="8"/>
      <c r="K87" s="8"/>
      <c r="L87" s="8"/>
      <c r="M87" s="8"/>
      <c r="N87" s="8"/>
      <c r="O87" s="8"/>
      <c r="P87"/>
      <c r="Q87"/>
      <c r="R87"/>
      <c r="S87"/>
      <c r="T87"/>
      <c r="U87"/>
      <c r="V87"/>
      <c r="W87"/>
      <c r="X87"/>
      <c r="Y87"/>
      <c r="Z87"/>
      <c r="AA87" s="8"/>
      <c r="AB87" s="8"/>
      <c r="AC87" s="8"/>
      <c r="AD87" s="8"/>
      <c r="AE87" s="8"/>
      <c r="AF87" s="8"/>
      <c r="AG87" s="8"/>
      <c r="AH87" s="8"/>
      <c r="AI87" s="8"/>
      <c r="AJ87" s="13"/>
    </row>
    <row r="88" spans="3:47" x14ac:dyDescent="0.2">
      <c r="AK88" s="12"/>
    </row>
    <row r="89" spans="3:47" x14ac:dyDescent="0.2">
      <c r="AG89" s="12"/>
    </row>
    <row r="96" spans="3:47" ht="15" x14ac:dyDescent="0.2">
      <c r="S96"/>
      <c r="T96"/>
      <c r="U96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pans="17:47" ht="15" x14ac:dyDescent="0.2"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9" spans="17:47" ht="15" x14ac:dyDescent="0.2"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</row>
    <row r="100" spans="17:47" ht="15" x14ac:dyDescent="0.2">
      <c r="Q100" s="8"/>
      <c r="R100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A1:BG77"/>
  <sheetViews>
    <sheetView zoomScale="58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X58" sqref="X58"/>
    </sheetView>
  </sheetViews>
  <sheetFormatPr baseColWidth="10" defaultColWidth="8.6640625" defaultRowHeight="14" x14ac:dyDescent="0.2"/>
  <cols>
    <col min="1" max="1" width="46" style="7" customWidth="1"/>
    <col min="2" max="2" width="24.5" style="7" bestFit="1" customWidth="1"/>
    <col min="3" max="28" width="8" style="7" customWidth="1"/>
    <col min="29" max="16384" width="8.6640625" style="7"/>
  </cols>
  <sheetData>
    <row r="1" spans="1:59" x14ac:dyDescent="0.2">
      <c r="A1" s="9" t="s">
        <v>339</v>
      </c>
    </row>
    <row r="2" spans="1:59" x14ac:dyDescent="0.2">
      <c r="A2" s="7" t="s">
        <v>391</v>
      </c>
    </row>
    <row r="3" spans="1:59" x14ac:dyDescent="0.2">
      <c r="A3" s="30" t="s">
        <v>51</v>
      </c>
      <c r="B3" s="30" t="s">
        <v>52</v>
      </c>
      <c r="C3" s="30">
        <v>2010</v>
      </c>
      <c r="D3" s="30">
        <v>2011</v>
      </c>
      <c r="E3" s="30">
        <v>2012</v>
      </c>
      <c r="F3" s="30">
        <v>2013</v>
      </c>
      <c r="G3" s="30">
        <v>2014</v>
      </c>
      <c r="H3" s="30">
        <v>2015</v>
      </c>
      <c r="I3" s="30">
        <v>2016</v>
      </c>
      <c r="J3" s="30">
        <v>2017</v>
      </c>
      <c r="K3" s="30">
        <v>2018</v>
      </c>
      <c r="L3" s="30">
        <v>2019</v>
      </c>
      <c r="M3" s="30">
        <v>2020</v>
      </c>
      <c r="N3" s="30">
        <v>2021</v>
      </c>
      <c r="O3" s="30">
        <v>2022</v>
      </c>
      <c r="P3" s="30">
        <v>2023</v>
      </c>
      <c r="Q3" s="30">
        <v>2024</v>
      </c>
      <c r="R3" s="30">
        <v>2025</v>
      </c>
      <c r="S3" s="30">
        <v>2026</v>
      </c>
      <c r="T3" s="30">
        <v>2027</v>
      </c>
      <c r="U3" s="30">
        <v>2028</v>
      </c>
      <c r="V3" s="30">
        <v>2029</v>
      </c>
      <c r="W3" s="30">
        <v>2030</v>
      </c>
      <c r="X3" s="30">
        <v>2031</v>
      </c>
      <c r="Y3" s="30">
        <v>2032</v>
      </c>
      <c r="Z3" s="30">
        <v>2033</v>
      </c>
      <c r="AA3" s="30">
        <v>2034</v>
      </c>
      <c r="AB3" s="30">
        <v>2035</v>
      </c>
    </row>
    <row r="4" spans="1:59" x14ac:dyDescent="0.2">
      <c r="A4" s="9" t="s">
        <v>53</v>
      </c>
      <c r="C4" s="9">
        <v>10.4</v>
      </c>
      <c r="D4" s="9">
        <v>9.1</v>
      </c>
      <c r="E4" s="9">
        <v>7.8</v>
      </c>
      <c r="F4" s="9">
        <v>8.8000000000000007</v>
      </c>
      <c r="G4" s="9">
        <v>8.1</v>
      </c>
      <c r="H4" s="9">
        <v>4.9000000000000004</v>
      </c>
      <c r="I4" s="9">
        <v>4.5</v>
      </c>
      <c r="J4" s="9">
        <v>6.8</v>
      </c>
      <c r="K4" s="9">
        <v>7.6</v>
      </c>
      <c r="L4" s="9">
        <v>7.7</v>
      </c>
      <c r="M4" s="9">
        <v>6.7</v>
      </c>
      <c r="N4" s="9">
        <v>12.1</v>
      </c>
      <c r="O4" s="9">
        <v>9.9</v>
      </c>
      <c r="P4" s="9">
        <v>8.6999999999999993</v>
      </c>
      <c r="Q4" s="9">
        <v>10.1</v>
      </c>
      <c r="R4" s="9">
        <v>9.1</v>
      </c>
      <c r="S4" s="9">
        <v>12.5</v>
      </c>
      <c r="T4" s="9">
        <v>10.8</v>
      </c>
      <c r="U4" s="9">
        <v>10.199999999999999</v>
      </c>
      <c r="V4" s="9">
        <v>9.8000000000000007</v>
      </c>
      <c r="W4" s="9">
        <v>10</v>
      </c>
      <c r="X4" s="9">
        <v>10.199999999999999</v>
      </c>
      <c r="Y4" s="9">
        <v>10.4</v>
      </c>
      <c r="Z4" s="9">
        <v>10.6</v>
      </c>
      <c r="AA4" s="9">
        <v>10.8</v>
      </c>
      <c r="AB4" s="9">
        <v>11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1:59" x14ac:dyDescent="0.2">
      <c r="A5" s="9" t="s">
        <v>54</v>
      </c>
      <c r="C5" s="9">
        <v>26.2</v>
      </c>
      <c r="D5" s="9">
        <v>22.5</v>
      </c>
      <c r="E5" s="9">
        <v>19.7</v>
      </c>
      <c r="F5" s="9">
        <v>21.1</v>
      </c>
      <c r="G5" s="9">
        <v>20.6</v>
      </c>
      <c r="H5" s="9">
        <v>11.2</v>
      </c>
      <c r="I5" s="9">
        <v>9.1</v>
      </c>
      <c r="J5" s="9">
        <v>15.2</v>
      </c>
      <c r="K5" s="9">
        <v>18.399999999999999</v>
      </c>
      <c r="L5" s="9">
        <v>18.600000000000001</v>
      </c>
      <c r="M5" s="9">
        <v>14.8</v>
      </c>
      <c r="N5" s="9">
        <v>26.7</v>
      </c>
      <c r="O5" s="9">
        <v>24</v>
      </c>
      <c r="P5" s="9">
        <v>21</v>
      </c>
      <c r="Q5" s="9">
        <v>25</v>
      </c>
      <c r="R5" s="9">
        <v>21.9</v>
      </c>
      <c r="S5" s="9">
        <v>31</v>
      </c>
      <c r="T5" s="9">
        <v>25.5</v>
      </c>
      <c r="U5" s="9">
        <v>23.2</v>
      </c>
      <c r="V5" s="9">
        <v>21.8</v>
      </c>
      <c r="W5" s="9">
        <v>22.2</v>
      </c>
      <c r="X5" s="9">
        <v>22.7</v>
      </c>
      <c r="Y5" s="9">
        <v>23.1</v>
      </c>
      <c r="Z5" s="9">
        <v>23.6</v>
      </c>
      <c r="AA5" s="9">
        <v>24.1</v>
      </c>
      <c r="AB5" s="9">
        <v>24.6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1:59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1:59" x14ac:dyDescent="0.2">
      <c r="A7" s="7" t="s">
        <v>64</v>
      </c>
      <c r="B7" s="7" t="s">
        <v>55</v>
      </c>
      <c r="C7" s="37">
        <f>Assumptions!$H3*IF(LEFT($B7,9)="Baltic C5",C$4,C$5)</f>
        <v>10.4</v>
      </c>
      <c r="D7" s="37">
        <f>Assumptions!$H3*IF(LEFT($B7,9)="Baltic C5",D$4,D$5)</f>
        <v>9.1</v>
      </c>
      <c r="E7" s="37">
        <f>Assumptions!$H3*IF(LEFT($B7,9)="Baltic C5",E$4,E$5)</f>
        <v>7.8</v>
      </c>
      <c r="F7" s="37">
        <f>Assumptions!$H3*IF(LEFT($B7,9)="Baltic C5",F$4,F$5)</f>
        <v>8.8000000000000007</v>
      </c>
      <c r="G7" s="37">
        <f>Assumptions!$H3*IF(LEFT($B7,9)="Baltic C5",G$4,G$5)</f>
        <v>8.1</v>
      </c>
      <c r="H7" s="37">
        <f>Assumptions!$H3*IF(LEFT($B7,9)="Baltic C5",H$4,H$5)</f>
        <v>4.9000000000000004</v>
      </c>
      <c r="I7" s="37">
        <f>Assumptions!$H3*IF(LEFT($B7,9)="Baltic C5",I$4,I$5)</f>
        <v>4.5</v>
      </c>
      <c r="J7" s="37">
        <f>Assumptions!$H3*IF(LEFT($B7,9)="Baltic C5",J$4,J$5)</f>
        <v>6.8</v>
      </c>
      <c r="K7" s="37">
        <f>Assumptions!$H3*IF(LEFT($B7,9)="Baltic C5",K$4,K$5)</f>
        <v>7.6</v>
      </c>
      <c r="L7" s="37">
        <f>Assumptions!$H3*IF(LEFT($B7,9)="Baltic C5",L$4,L$5)</f>
        <v>7.7</v>
      </c>
      <c r="M7" s="37">
        <f>Assumptions!$H3*IF(LEFT($B7,9)="Baltic C5",M$4,M$5)</f>
        <v>6.7</v>
      </c>
      <c r="N7" s="37">
        <f>Assumptions!$H3*IF(LEFT($B7,9)="Baltic C5",N$4,N$5)</f>
        <v>12.1</v>
      </c>
      <c r="O7" s="37">
        <f>Assumptions!$H3*IF(LEFT($B7,9)="Baltic C5",O$4,O$5)</f>
        <v>9.9</v>
      </c>
      <c r="P7" s="37">
        <f>Assumptions!$H3*IF(LEFT($B7,9)="Baltic C5",P$4,P$5)</f>
        <v>8.6999999999999993</v>
      </c>
      <c r="Q7" s="37">
        <f>Assumptions!$H3*IF(LEFT($B7,9)="Baltic C5",Q$4,Q$5)</f>
        <v>10.1</v>
      </c>
      <c r="R7" s="37">
        <f>Assumptions!$H3*IF(LEFT($B7,9)="Baltic C5",R$4,R$5)</f>
        <v>9.1</v>
      </c>
      <c r="S7" s="37">
        <f>Assumptions!$H3*IF(LEFT($B7,9)="Baltic C5",S$4,S$5)</f>
        <v>12.5</v>
      </c>
      <c r="T7" s="37">
        <f>Assumptions!$H3*IF(LEFT($B7,9)="Baltic C5",T$4,T$5)</f>
        <v>10.8</v>
      </c>
      <c r="U7" s="37">
        <f>Assumptions!$H3*IF(LEFT($B7,9)="Baltic C5",U$4,U$5)</f>
        <v>10.199999999999999</v>
      </c>
      <c r="V7" s="37">
        <f>Assumptions!$H3*IF(LEFT($B7,9)="Baltic C5",V$4,V$5)</f>
        <v>9.8000000000000007</v>
      </c>
      <c r="W7" s="37">
        <f>Assumptions!$H3*IF(LEFT($B7,9)="Baltic C5",W$4,W$5)</f>
        <v>10</v>
      </c>
      <c r="X7" s="37">
        <f>Assumptions!$H3*IF(LEFT($B7,9)="Baltic C5",X$4,X$5)</f>
        <v>10.199999999999999</v>
      </c>
      <c r="Y7" s="37">
        <f>Assumptions!$H3*IF(LEFT($B7,9)="Baltic C5",Y$4,Y$5)</f>
        <v>10.4</v>
      </c>
      <c r="Z7" s="37">
        <f>Assumptions!$H3*IF(LEFT($B7,9)="Baltic C5",Z$4,Z$5)</f>
        <v>10.6</v>
      </c>
      <c r="AA7" s="37">
        <f>Assumptions!$H3*IF(LEFT($B7,9)="Baltic C5",AA$4,AA$5)</f>
        <v>10.8</v>
      </c>
      <c r="AB7" s="37">
        <f>Assumptions!$H3*IF(LEFT($B7,9)="Baltic C5",AB$4,AB$5)</f>
        <v>11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1:59" x14ac:dyDescent="0.2">
      <c r="A8" s="7" t="s">
        <v>65</v>
      </c>
      <c r="B8" s="7" t="s">
        <v>55</v>
      </c>
      <c r="C8" s="37">
        <f>Assumptions!$H4*IF(LEFT($B8,9)="Baltic C5",C$4,C$5)</f>
        <v>10.4</v>
      </c>
      <c r="D8" s="37">
        <f>Assumptions!$H4*IF(LEFT($B8,9)="Baltic C5",D$4,D$5)</f>
        <v>9.1</v>
      </c>
      <c r="E8" s="37">
        <f>Assumptions!$H4*IF(LEFT($B8,9)="Baltic C5",E$4,E$5)</f>
        <v>7.8</v>
      </c>
      <c r="F8" s="37">
        <f>Assumptions!$H4*IF(LEFT($B8,9)="Baltic C5",F$4,F$5)</f>
        <v>8.8000000000000007</v>
      </c>
      <c r="G8" s="37">
        <f>Assumptions!$H4*IF(LEFT($B8,9)="Baltic C5",G$4,G$5)</f>
        <v>8.1</v>
      </c>
      <c r="H8" s="37">
        <f>Assumptions!$H4*IF(LEFT($B8,9)="Baltic C5",H$4,H$5)</f>
        <v>4.9000000000000004</v>
      </c>
      <c r="I8" s="37">
        <f>Assumptions!$H4*IF(LEFT($B8,9)="Baltic C5",I$4,I$5)</f>
        <v>4.5</v>
      </c>
      <c r="J8" s="37">
        <f>Assumptions!$H4*IF(LEFT($B8,9)="Baltic C5",J$4,J$5)</f>
        <v>6.8</v>
      </c>
      <c r="K8" s="37">
        <f>Assumptions!$H4*IF(LEFT($B8,9)="Baltic C5",K$4,K$5)</f>
        <v>7.6</v>
      </c>
      <c r="L8" s="37">
        <f>Assumptions!$H4*IF(LEFT($B8,9)="Baltic C5",L$4,L$5)</f>
        <v>7.7</v>
      </c>
      <c r="M8" s="37">
        <f>Assumptions!$H4*IF(LEFT($B8,9)="Baltic C5",M$4,M$5)</f>
        <v>6.7</v>
      </c>
      <c r="N8" s="37">
        <f>Assumptions!$H4*IF(LEFT($B8,9)="Baltic C5",N$4,N$5)</f>
        <v>12.1</v>
      </c>
      <c r="O8" s="37">
        <f>Assumptions!$H4*IF(LEFT($B8,9)="Baltic C5",O$4,O$5)</f>
        <v>9.9</v>
      </c>
      <c r="P8" s="37">
        <f>Assumptions!$H4*IF(LEFT($B8,9)="Baltic C5",P$4,P$5)</f>
        <v>8.6999999999999993</v>
      </c>
      <c r="Q8" s="37">
        <f>Assumptions!$H4*IF(LEFT($B8,9)="Baltic C5",Q$4,Q$5)</f>
        <v>10.1</v>
      </c>
      <c r="R8" s="37">
        <f>Assumptions!$H4*IF(LEFT($B8,9)="Baltic C5",R$4,R$5)</f>
        <v>9.1</v>
      </c>
      <c r="S8" s="37">
        <f>Assumptions!$H4*IF(LEFT($B8,9)="Baltic C5",S$4,S$5)</f>
        <v>12.5</v>
      </c>
      <c r="T8" s="37">
        <f>Assumptions!$H4*IF(LEFT($B8,9)="Baltic C5",T$4,T$5)</f>
        <v>10.8</v>
      </c>
      <c r="U8" s="37">
        <f>Assumptions!$H4*IF(LEFT($B8,9)="Baltic C5",U$4,U$5)</f>
        <v>10.199999999999999</v>
      </c>
      <c r="V8" s="37">
        <f>Assumptions!$H4*IF(LEFT($B8,9)="Baltic C5",V$4,V$5)</f>
        <v>9.8000000000000007</v>
      </c>
      <c r="W8" s="37">
        <f>Assumptions!$H4*IF(LEFT($B8,9)="Baltic C5",W$4,W$5)</f>
        <v>10</v>
      </c>
      <c r="X8" s="37">
        <f>Assumptions!$H4*IF(LEFT($B8,9)="Baltic C5",X$4,X$5)</f>
        <v>10.199999999999999</v>
      </c>
      <c r="Y8" s="37">
        <f>Assumptions!$H4*IF(LEFT($B8,9)="Baltic C5",Y$4,Y$5)</f>
        <v>10.4</v>
      </c>
      <c r="Z8" s="37">
        <f>Assumptions!$H4*IF(LEFT($B8,9)="Baltic C5",Z$4,Z$5)</f>
        <v>10.6</v>
      </c>
      <c r="AA8" s="37">
        <f>Assumptions!$H4*IF(LEFT($B8,9)="Baltic C5",AA$4,AA$5)</f>
        <v>10.8</v>
      </c>
      <c r="AB8" s="37">
        <f>Assumptions!$H4*IF(LEFT($B8,9)="Baltic C5",AB$4,AB$5)</f>
        <v>11</v>
      </c>
    </row>
    <row r="9" spans="1:59" x14ac:dyDescent="0.2">
      <c r="A9" s="7" t="s">
        <v>66</v>
      </c>
      <c r="B9" s="7" t="s">
        <v>55</v>
      </c>
      <c r="C9" s="37">
        <f>Assumptions!$H5*IF(LEFT($B9,9)="Baltic C5",C$4,C$5)</f>
        <v>10.4</v>
      </c>
      <c r="D9" s="37">
        <f>Assumptions!$H5*IF(LEFT($B9,9)="Baltic C5",D$4,D$5)</f>
        <v>9.1</v>
      </c>
      <c r="E9" s="37">
        <f>Assumptions!$H5*IF(LEFT($B9,9)="Baltic C5",E$4,E$5)</f>
        <v>7.8</v>
      </c>
      <c r="F9" s="37">
        <f>Assumptions!$H5*IF(LEFT($B9,9)="Baltic C5",F$4,F$5)</f>
        <v>8.8000000000000007</v>
      </c>
      <c r="G9" s="37">
        <f>Assumptions!$H5*IF(LEFT($B9,9)="Baltic C5",G$4,G$5)</f>
        <v>8.1</v>
      </c>
      <c r="H9" s="37">
        <f>Assumptions!$H5*IF(LEFT($B9,9)="Baltic C5",H$4,H$5)</f>
        <v>4.9000000000000004</v>
      </c>
      <c r="I9" s="37">
        <f>Assumptions!$H5*IF(LEFT($B9,9)="Baltic C5",I$4,I$5)</f>
        <v>4.5</v>
      </c>
      <c r="J9" s="37">
        <f>Assumptions!$H5*IF(LEFT($B9,9)="Baltic C5",J$4,J$5)</f>
        <v>6.8</v>
      </c>
      <c r="K9" s="37">
        <f>Assumptions!$H5*IF(LEFT($B9,9)="Baltic C5",K$4,K$5)</f>
        <v>7.6</v>
      </c>
      <c r="L9" s="37">
        <f>Assumptions!$H5*IF(LEFT($B9,9)="Baltic C5",L$4,L$5)</f>
        <v>7.7</v>
      </c>
      <c r="M9" s="37">
        <f>Assumptions!$H5*IF(LEFT($B9,9)="Baltic C5",M$4,M$5)</f>
        <v>6.7</v>
      </c>
      <c r="N9" s="37">
        <f>Assumptions!$H5*IF(LEFT($B9,9)="Baltic C5",N$4,N$5)</f>
        <v>12.1</v>
      </c>
      <c r="O9" s="37">
        <f>Assumptions!$H5*IF(LEFT($B9,9)="Baltic C5",O$4,O$5)</f>
        <v>9.9</v>
      </c>
      <c r="P9" s="37">
        <f>Assumptions!$H5*IF(LEFT($B9,9)="Baltic C5",P$4,P$5)</f>
        <v>8.6999999999999993</v>
      </c>
      <c r="Q9" s="37">
        <f>Assumptions!$H5*IF(LEFT($B9,9)="Baltic C5",Q$4,Q$5)</f>
        <v>10.1</v>
      </c>
      <c r="R9" s="37">
        <f>Assumptions!$H5*IF(LEFT($B9,9)="Baltic C5",R$4,R$5)</f>
        <v>9.1</v>
      </c>
      <c r="S9" s="37">
        <f>Assumptions!$H5*IF(LEFT($B9,9)="Baltic C5",S$4,S$5)</f>
        <v>12.5</v>
      </c>
      <c r="T9" s="37">
        <f>Assumptions!$H5*IF(LEFT($B9,9)="Baltic C5",T$4,T$5)</f>
        <v>10.8</v>
      </c>
      <c r="U9" s="37">
        <f>Assumptions!$H5*IF(LEFT($B9,9)="Baltic C5",U$4,U$5)</f>
        <v>10.199999999999999</v>
      </c>
      <c r="V9" s="37">
        <f>Assumptions!$H5*IF(LEFT($B9,9)="Baltic C5",V$4,V$5)</f>
        <v>9.8000000000000007</v>
      </c>
      <c r="W9" s="37">
        <f>Assumptions!$H5*IF(LEFT($B9,9)="Baltic C5",W$4,W$5)</f>
        <v>10</v>
      </c>
      <c r="X9" s="37">
        <f>Assumptions!$H5*IF(LEFT($B9,9)="Baltic C5",X$4,X$5)</f>
        <v>10.199999999999999</v>
      </c>
      <c r="Y9" s="37">
        <f>Assumptions!$H5*IF(LEFT($B9,9)="Baltic C5",Y$4,Y$5)</f>
        <v>10.4</v>
      </c>
      <c r="Z9" s="37">
        <f>Assumptions!$H5*IF(LEFT($B9,9)="Baltic C5",Z$4,Z$5)</f>
        <v>10.6</v>
      </c>
      <c r="AA9" s="37">
        <f>Assumptions!$H5*IF(LEFT($B9,9)="Baltic C5",AA$4,AA$5)</f>
        <v>10.8</v>
      </c>
      <c r="AB9" s="37">
        <f>Assumptions!$H5*IF(LEFT($B9,9)="Baltic C5",AB$4,AB$5)</f>
        <v>11</v>
      </c>
    </row>
    <row r="10" spans="1:59" x14ac:dyDescent="0.2">
      <c r="A10" s="7" t="s">
        <v>82</v>
      </c>
      <c r="B10" s="7" t="s">
        <v>55</v>
      </c>
      <c r="C10" s="37">
        <f>Assumptions!$H6*IF(LEFT($B10,9)="Baltic C5",C$4,C$5)</f>
        <v>10.4</v>
      </c>
      <c r="D10" s="37">
        <f>Assumptions!$H6*IF(LEFT($B10,9)="Baltic C5",D$4,D$5)</f>
        <v>9.1</v>
      </c>
      <c r="E10" s="37">
        <f>Assumptions!$H6*IF(LEFT($B10,9)="Baltic C5",E$4,E$5)</f>
        <v>7.8</v>
      </c>
      <c r="F10" s="37">
        <f>Assumptions!$H6*IF(LEFT($B10,9)="Baltic C5",F$4,F$5)</f>
        <v>8.8000000000000007</v>
      </c>
      <c r="G10" s="37">
        <f>Assumptions!$H6*IF(LEFT($B10,9)="Baltic C5",G$4,G$5)</f>
        <v>8.1</v>
      </c>
      <c r="H10" s="37">
        <f>Assumptions!$H6*IF(LEFT($B10,9)="Baltic C5",H$4,H$5)</f>
        <v>4.9000000000000004</v>
      </c>
      <c r="I10" s="37">
        <f>Assumptions!$H6*IF(LEFT($B10,9)="Baltic C5",I$4,I$5)</f>
        <v>4.5</v>
      </c>
      <c r="J10" s="37">
        <f>Assumptions!$H6*IF(LEFT($B10,9)="Baltic C5",J$4,J$5)</f>
        <v>6.8</v>
      </c>
      <c r="K10" s="37">
        <f>Assumptions!$H6*IF(LEFT($B10,9)="Baltic C5",K$4,K$5)</f>
        <v>7.6</v>
      </c>
      <c r="L10" s="37">
        <f>Assumptions!$H6*IF(LEFT($B10,9)="Baltic C5",L$4,L$5)</f>
        <v>7.7</v>
      </c>
      <c r="M10" s="37">
        <f>Assumptions!$H6*IF(LEFT($B10,9)="Baltic C5",M$4,M$5)</f>
        <v>6.7</v>
      </c>
      <c r="N10" s="37">
        <f>Assumptions!$H6*IF(LEFT($B10,9)="Baltic C5",N$4,N$5)</f>
        <v>12.1</v>
      </c>
      <c r="O10" s="37">
        <f>Assumptions!$H6*IF(LEFT($B10,9)="Baltic C5",O$4,O$5)</f>
        <v>9.9</v>
      </c>
      <c r="P10" s="37">
        <f>Assumptions!$H6*IF(LEFT($B10,9)="Baltic C5",P$4,P$5)</f>
        <v>8.6999999999999993</v>
      </c>
      <c r="Q10" s="37">
        <f>Assumptions!$H6*IF(LEFT($B10,9)="Baltic C5",Q$4,Q$5)</f>
        <v>10.1</v>
      </c>
      <c r="R10" s="37">
        <f>Assumptions!$H6*IF(LEFT($B10,9)="Baltic C5",R$4,R$5)</f>
        <v>9.1</v>
      </c>
      <c r="S10" s="37">
        <f>Assumptions!$H6*IF(LEFT($B10,9)="Baltic C5",S$4,S$5)</f>
        <v>12.5</v>
      </c>
      <c r="T10" s="37">
        <f>Assumptions!$H6*IF(LEFT($B10,9)="Baltic C5",T$4,T$5)</f>
        <v>10.8</v>
      </c>
      <c r="U10" s="37">
        <f>Assumptions!$H6*IF(LEFT($B10,9)="Baltic C5",U$4,U$5)</f>
        <v>10.199999999999999</v>
      </c>
      <c r="V10" s="37">
        <f>Assumptions!$H6*IF(LEFT($B10,9)="Baltic C5",V$4,V$5)</f>
        <v>9.8000000000000007</v>
      </c>
      <c r="W10" s="37">
        <f>Assumptions!$H6*IF(LEFT($B10,9)="Baltic C5",W$4,W$5)</f>
        <v>10</v>
      </c>
      <c r="X10" s="37">
        <f>Assumptions!$H6*IF(LEFT($B10,9)="Baltic C5",X$4,X$5)</f>
        <v>10.199999999999999</v>
      </c>
      <c r="Y10" s="37">
        <f>Assumptions!$H6*IF(LEFT($B10,9)="Baltic C5",Y$4,Y$5)</f>
        <v>10.4</v>
      </c>
      <c r="Z10" s="37">
        <f>Assumptions!$H6*IF(LEFT($B10,9)="Baltic C5",Z$4,Z$5)</f>
        <v>10.6</v>
      </c>
      <c r="AA10" s="37">
        <f>Assumptions!$H6*IF(LEFT($B10,9)="Baltic C5",AA$4,AA$5)</f>
        <v>10.8</v>
      </c>
      <c r="AB10" s="37">
        <f>Assumptions!$H6*IF(LEFT($B10,9)="Baltic C5",AB$4,AB$5)</f>
        <v>11</v>
      </c>
    </row>
    <row r="11" spans="1:59" x14ac:dyDescent="0.2">
      <c r="A11" s="7" t="s">
        <v>69</v>
      </c>
      <c r="B11" s="7" t="s">
        <v>341</v>
      </c>
      <c r="C11" s="37">
        <f>Assumptions!$H7*IF(LEFT($B11,9)="Baltic C5",C$4,C$5)</f>
        <v>27.772000000000002</v>
      </c>
      <c r="D11" s="37">
        <f>Assumptions!$H7*IF(LEFT($B11,9)="Baltic C5",D$4,D$5)</f>
        <v>23.85</v>
      </c>
      <c r="E11" s="37">
        <f>Assumptions!$H7*IF(LEFT($B11,9)="Baltic C5",E$4,E$5)</f>
        <v>20.882000000000001</v>
      </c>
      <c r="F11" s="37">
        <f>Assumptions!$H7*IF(LEFT($B11,9)="Baltic C5",F$4,F$5)</f>
        <v>22.366000000000003</v>
      </c>
      <c r="G11" s="37">
        <f>Assumptions!$H7*IF(LEFT($B11,9)="Baltic C5",G$4,G$5)</f>
        <v>21.836000000000002</v>
      </c>
      <c r="H11" s="37">
        <f>Assumptions!$H7*IF(LEFT($B11,9)="Baltic C5",H$4,H$5)</f>
        <v>11.872</v>
      </c>
      <c r="I11" s="37">
        <f>Assumptions!$H7*IF(LEFT($B11,9)="Baltic C5",I$4,I$5)</f>
        <v>9.6460000000000008</v>
      </c>
      <c r="J11" s="37">
        <f>Assumptions!$H7*IF(LEFT($B11,9)="Baltic C5",J$4,J$5)</f>
        <v>16.111999999999998</v>
      </c>
      <c r="K11" s="37">
        <f>Assumptions!$H7*IF(LEFT($B11,9)="Baltic C5",K$4,K$5)</f>
        <v>19.503999999999998</v>
      </c>
      <c r="L11" s="37">
        <f>Assumptions!$H7*IF(LEFT($B11,9)="Baltic C5",L$4,L$5)</f>
        <v>19.716000000000001</v>
      </c>
      <c r="M11" s="37">
        <f>Assumptions!$H7*IF(LEFT($B11,9)="Baltic C5",M$4,M$5)</f>
        <v>15.688000000000002</v>
      </c>
      <c r="N11" s="37">
        <f>Assumptions!$H7*IF(LEFT($B11,9)="Baltic C5",N$4,N$5)</f>
        <v>28.302</v>
      </c>
      <c r="O11" s="37">
        <f>Assumptions!$H7*IF(LEFT($B11,9)="Baltic C5",O$4,O$5)</f>
        <v>25.44</v>
      </c>
      <c r="P11" s="37">
        <f>Assumptions!$H7*IF(LEFT($B11,9)="Baltic C5",P$4,P$5)</f>
        <v>22.26</v>
      </c>
      <c r="Q11" s="37">
        <f>Assumptions!$H7*IF(LEFT($B11,9)="Baltic C5",Q$4,Q$5)</f>
        <v>26.5</v>
      </c>
      <c r="R11" s="37">
        <f>Assumptions!$H7*IF(LEFT($B11,9)="Baltic C5",R$4,R$5)</f>
        <v>23.213999999999999</v>
      </c>
      <c r="S11" s="37">
        <f>Assumptions!$H7*IF(LEFT($B11,9)="Baltic C5",S$4,S$5)</f>
        <v>32.86</v>
      </c>
      <c r="T11" s="37">
        <f>Assumptions!$H7*IF(LEFT($B11,9)="Baltic C5",T$4,T$5)</f>
        <v>27.03</v>
      </c>
      <c r="U11" s="37">
        <f>Assumptions!$H7*IF(LEFT($B11,9)="Baltic C5",U$4,U$5)</f>
        <v>24.591999999999999</v>
      </c>
      <c r="V11" s="37">
        <f>Assumptions!$H7*IF(LEFT($B11,9)="Baltic C5",V$4,V$5)</f>
        <v>23.108000000000001</v>
      </c>
      <c r="W11" s="37">
        <f>Assumptions!$H7*IF(LEFT($B11,9)="Baltic C5",W$4,W$5)</f>
        <v>23.532</v>
      </c>
      <c r="X11" s="37">
        <f>Assumptions!$H7*IF(LEFT($B11,9)="Baltic C5",X$4,X$5)</f>
        <v>24.062000000000001</v>
      </c>
      <c r="Y11" s="37">
        <f>Assumptions!$H7*IF(LEFT($B11,9)="Baltic C5",Y$4,Y$5)</f>
        <v>24.486000000000004</v>
      </c>
      <c r="Z11" s="37">
        <f>Assumptions!$H7*IF(LEFT($B11,9)="Baltic C5",Z$4,Z$5)</f>
        <v>25.016000000000002</v>
      </c>
      <c r="AA11" s="37">
        <f>Assumptions!$H7*IF(LEFT($B11,9)="Baltic C5",AA$4,AA$5)</f>
        <v>25.546000000000003</v>
      </c>
      <c r="AB11" s="37">
        <f>Assumptions!$H7*IF(LEFT($B11,9)="Baltic C5",AB$4,AB$5)</f>
        <v>26.076000000000004</v>
      </c>
    </row>
    <row r="12" spans="1:59" x14ac:dyDescent="0.2">
      <c r="A12" s="7" t="s">
        <v>73</v>
      </c>
      <c r="B12" s="7" t="s">
        <v>57</v>
      </c>
      <c r="C12" s="37">
        <f>Assumptions!$H8*IF(LEFT($B12,9)="Baltic C5",C$4,C$5)</f>
        <v>26.2</v>
      </c>
      <c r="D12" s="37">
        <f>Assumptions!$H8*IF(LEFT($B12,9)="Baltic C5",D$4,D$5)</f>
        <v>22.5</v>
      </c>
      <c r="E12" s="37">
        <f>Assumptions!$H8*IF(LEFT($B12,9)="Baltic C5",E$4,E$5)</f>
        <v>19.7</v>
      </c>
      <c r="F12" s="37">
        <f>Assumptions!$H8*IF(LEFT($B12,9)="Baltic C5",F$4,F$5)</f>
        <v>21.1</v>
      </c>
      <c r="G12" s="37">
        <f>Assumptions!$H8*IF(LEFT($B12,9)="Baltic C5",G$4,G$5)</f>
        <v>20.6</v>
      </c>
      <c r="H12" s="37">
        <f>Assumptions!$H8*IF(LEFT($B12,9)="Baltic C5",H$4,H$5)</f>
        <v>11.2</v>
      </c>
      <c r="I12" s="37">
        <f>Assumptions!$H8*IF(LEFT($B12,9)="Baltic C5",I$4,I$5)</f>
        <v>9.1</v>
      </c>
      <c r="J12" s="37">
        <f>Assumptions!$H8*IF(LEFT($B12,9)="Baltic C5",J$4,J$5)</f>
        <v>15.2</v>
      </c>
      <c r="K12" s="37">
        <f>Assumptions!$H8*IF(LEFT($B12,9)="Baltic C5",K$4,K$5)</f>
        <v>18.399999999999999</v>
      </c>
      <c r="L12" s="37">
        <f>Assumptions!$H8*IF(LEFT($B12,9)="Baltic C5",L$4,L$5)</f>
        <v>18.600000000000001</v>
      </c>
      <c r="M12" s="37">
        <f>Assumptions!$H8*IF(LEFT($B12,9)="Baltic C5",M$4,M$5)</f>
        <v>14.8</v>
      </c>
      <c r="N12" s="37">
        <f>Assumptions!$H8*IF(LEFT($B12,9)="Baltic C5",N$4,N$5)</f>
        <v>26.7</v>
      </c>
      <c r="O12" s="37">
        <f>Assumptions!$H8*IF(LEFT($B12,9)="Baltic C5",O$4,O$5)</f>
        <v>24</v>
      </c>
      <c r="P12" s="37">
        <f>Assumptions!$H8*IF(LEFT($B12,9)="Baltic C5",P$4,P$5)</f>
        <v>21</v>
      </c>
      <c r="Q12" s="37">
        <f>Assumptions!$H8*IF(LEFT($B12,9)="Baltic C5",Q$4,Q$5)</f>
        <v>25</v>
      </c>
      <c r="R12" s="37">
        <f>Assumptions!$H8*IF(LEFT($B12,9)="Baltic C5",R$4,R$5)</f>
        <v>21.9</v>
      </c>
      <c r="S12" s="37">
        <f>Assumptions!$H8*IF(LEFT($B12,9)="Baltic C5",S$4,S$5)</f>
        <v>31</v>
      </c>
      <c r="T12" s="37">
        <f>Assumptions!$H8*IF(LEFT($B12,9)="Baltic C5",T$4,T$5)</f>
        <v>25.5</v>
      </c>
      <c r="U12" s="37">
        <f>Assumptions!$H8*IF(LEFT($B12,9)="Baltic C5",U$4,U$5)</f>
        <v>23.2</v>
      </c>
      <c r="V12" s="37">
        <f>Assumptions!$H8*IF(LEFT($B12,9)="Baltic C5",V$4,V$5)</f>
        <v>21.8</v>
      </c>
      <c r="W12" s="37">
        <f>Assumptions!$H8*IF(LEFT($B12,9)="Baltic C5",W$4,W$5)</f>
        <v>22.2</v>
      </c>
      <c r="X12" s="37">
        <f>Assumptions!$H8*IF(LEFT($B12,9)="Baltic C5",X$4,X$5)</f>
        <v>22.7</v>
      </c>
      <c r="Y12" s="37">
        <f>Assumptions!$H8*IF(LEFT($B12,9)="Baltic C5",Y$4,Y$5)</f>
        <v>23.1</v>
      </c>
      <c r="Z12" s="37">
        <f>Assumptions!$H8*IF(LEFT($B12,9)="Baltic C5",Z$4,Z$5)</f>
        <v>23.6</v>
      </c>
      <c r="AA12" s="37">
        <f>Assumptions!$H8*IF(LEFT($B12,9)="Baltic C5",AA$4,AA$5)</f>
        <v>24.1</v>
      </c>
      <c r="AB12" s="37">
        <f>Assumptions!$H8*IF(LEFT($B12,9)="Baltic C5",AB$4,AB$5)</f>
        <v>24.6</v>
      </c>
    </row>
    <row r="13" spans="1:59" x14ac:dyDescent="0.2">
      <c r="A13" s="7" t="s">
        <v>74</v>
      </c>
      <c r="B13" s="7" t="s">
        <v>342</v>
      </c>
      <c r="C13" s="37">
        <f>Assumptions!$H9*IF(LEFT($B13,9)="Baltic C5",C$4,C$5)</f>
        <v>26.462</v>
      </c>
      <c r="D13" s="37">
        <f>Assumptions!$H9*IF(LEFT($B13,9)="Baltic C5",D$4,D$5)</f>
        <v>22.725000000000001</v>
      </c>
      <c r="E13" s="37">
        <f>Assumptions!$H9*IF(LEFT($B13,9)="Baltic C5",E$4,E$5)</f>
        <v>19.896999999999998</v>
      </c>
      <c r="F13" s="37">
        <f>Assumptions!$H9*IF(LEFT($B13,9)="Baltic C5",F$4,F$5)</f>
        <v>21.311</v>
      </c>
      <c r="G13" s="37">
        <f>Assumptions!$H9*IF(LEFT($B13,9)="Baltic C5",G$4,G$5)</f>
        <v>20.806000000000001</v>
      </c>
      <c r="H13" s="37">
        <f>Assumptions!$H9*IF(LEFT($B13,9)="Baltic C5",H$4,H$5)</f>
        <v>11.311999999999999</v>
      </c>
      <c r="I13" s="37">
        <f>Assumptions!$H9*IF(LEFT($B13,9)="Baltic C5",I$4,I$5)</f>
        <v>9.1909999999999989</v>
      </c>
      <c r="J13" s="37">
        <f>Assumptions!$H9*IF(LEFT($B13,9)="Baltic C5",J$4,J$5)</f>
        <v>15.351999999999999</v>
      </c>
      <c r="K13" s="37">
        <f>Assumptions!$H9*IF(LEFT($B13,9)="Baltic C5",K$4,K$5)</f>
        <v>18.584</v>
      </c>
      <c r="L13" s="37">
        <f>Assumptions!$H9*IF(LEFT($B13,9)="Baltic C5",L$4,L$5)</f>
        <v>18.786000000000001</v>
      </c>
      <c r="M13" s="37">
        <f>Assumptions!$H9*IF(LEFT($B13,9)="Baltic C5",M$4,M$5)</f>
        <v>14.948</v>
      </c>
      <c r="N13" s="37">
        <f>Assumptions!$H9*IF(LEFT($B13,9)="Baltic C5",N$4,N$5)</f>
        <v>26.966999999999999</v>
      </c>
      <c r="O13" s="37">
        <f>Assumptions!$H9*IF(LEFT($B13,9)="Baltic C5",O$4,O$5)</f>
        <v>24.240000000000002</v>
      </c>
      <c r="P13" s="37">
        <f>Assumptions!$H9*IF(LEFT($B13,9)="Baltic C5",P$4,P$5)</f>
        <v>21.21</v>
      </c>
      <c r="Q13" s="37">
        <f>Assumptions!$H9*IF(LEFT($B13,9)="Baltic C5",Q$4,Q$5)</f>
        <v>25.25</v>
      </c>
      <c r="R13" s="37">
        <f>Assumptions!$H9*IF(LEFT($B13,9)="Baltic C5",R$4,R$5)</f>
        <v>22.119</v>
      </c>
      <c r="S13" s="37">
        <f>Assumptions!$H9*IF(LEFT($B13,9)="Baltic C5",S$4,S$5)</f>
        <v>31.31</v>
      </c>
      <c r="T13" s="37">
        <f>Assumptions!$H9*IF(LEFT($B13,9)="Baltic C5",T$4,T$5)</f>
        <v>25.754999999999999</v>
      </c>
      <c r="U13" s="37">
        <f>Assumptions!$H9*IF(LEFT($B13,9)="Baltic C5",U$4,U$5)</f>
        <v>23.431999999999999</v>
      </c>
      <c r="V13" s="37">
        <f>Assumptions!$H9*IF(LEFT($B13,9)="Baltic C5",V$4,V$5)</f>
        <v>22.018000000000001</v>
      </c>
      <c r="W13" s="37">
        <f>Assumptions!$H9*IF(LEFT($B13,9)="Baltic C5",W$4,W$5)</f>
        <v>22.422000000000001</v>
      </c>
      <c r="X13" s="37">
        <f>Assumptions!$H9*IF(LEFT($B13,9)="Baltic C5",X$4,X$5)</f>
        <v>22.927</v>
      </c>
      <c r="Y13" s="37">
        <f>Assumptions!$H9*IF(LEFT($B13,9)="Baltic C5",Y$4,Y$5)</f>
        <v>23.331000000000003</v>
      </c>
      <c r="Z13" s="37">
        <f>Assumptions!$H9*IF(LEFT($B13,9)="Baltic C5",Z$4,Z$5)</f>
        <v>23.836000000000002</v>
      </c>
      <c r="AA13" s="37">
        <f>Assumptions!$H9*IF(LEFT($B13,9)="Baltic C5",AA$4,AA$5)</f>
        <v>24.341000000000001</v>
      </c>
      <c r="AB13" s="37">
        <f>Assumptions!$H9*IF(LEFT($B13,9)="Baltic C5",AB$4,AB$5)</f>
        <v>24.846</v>
      </c>
    </row>
    <row r="14" spans="1:59" x14ac:dyDescent="0.2">
      <c r="A14" s="7" t="s">
        <v>83</v>
      </c>
      <c r="B14" s="7" t="s">
        <v>55</v>
      </c>
      <c r="C14" s="37">
        <f>Assumptions!$H10*IF(LEFT($B14,9)="Baltic C5",C$4,C$5)</f>
        <v>10.4</v>
      </c>
      <c r="D14" s="37">
        <f>Assumptions!$H10*IF(LEFT($B14,9)="Baltic C5",D$4,D$5)</f>
        <v>9.1</v>
      </c>
      <c r="E14" s="37">
        <f>Assumptions!$H10*IF(LEFT($B14,9)="Baltic C5",E$4,E$5)</f>
        <v>7.8</v>
      </c>
      <c r="F14" s="37">
        <f>Assumptions!$H10*IF(LEFT($B14,9)="Baltic C5",F$4,F$5)</f>
        <v>8.8000000000000007</v>
      </c>
      <c r="G14" s="37">
        <f>Assumptions!$H10*IF(LEFT($B14,9)="Baltic C5",G$4,G$5)</f>
        <v>8.1</v>
      </c>
      <c r="H14" s="37">
        <f>Assumptions!$H10*IF(LEFT($B14,9)="Baltic C5",H$4,H$5)</f>
        <v>4.9000000000000004</v>
      </c>
      <c r="I14" s="37">
        <f>Assumptions!$H10*IF(LEFT($B14,9)="Baltic C5",I$4,I$5)</f>
        <v>4.5</v>
      </c>
      <c r="J14" s="37">
        <f>Assumptions!$H10*IF(LEFT($B14,9)="Baltic C5",J$4,J$5)</f>
        <v>6.8</v>
      </c>
      <c r="K14" s="37">
        <f>Assumptions!$H10*IF(LEFT($B14,9)="Baltic C5",K$4,K$5)</f>
        <v>7.6</v>
      </c>
      <c r="L14" s="37">
        <f>Assumptions!$H10*IF(LEFT($B14,9)="Baltic C5",L$4,L$5)</f>
        <v>7.7</v>
      </c>
      <c r="M14" s="37">
        <f>Assumptions!$H10*IF(LEFT($B14,9)="Baltic C5",M$4,M$5)</f>
        <v>6.7</v>
      </c>
      <c r="N14" s="37">
        <f>Assumptions!$H10*IF(LEFT($B14,9)="Baltic C5",N$4,N$5)</f>
        <v>12.1</v>
      </c>
      <c r="O14" s="37">
        <f>Assumptions!$H10*IF(LEFT($B14,9)="Baltic C5",O$4,O$5)</f>
        <v>9.9</v>
      </c>
      <c r="P14" s="37">
        <f>Assumptions!$H10*IF(LEFT($B14,9)="Baltic C5",P$4,P$5)</f>
        <v>8.6999999999999993</v>
      </c>
      <c r="Q14" s="37">
        <f>Assumptions!$H10*IF(LEFT($B14,9)="Baltic C5",Q$4,Q$5)</f>
        <v>10.1</v>
      </c>
      <c r="R14" s="37">
        <f>Assumptions!$H10*IF(LEFT($B14,9)="Baltic C5",R$4,R$5)</f>
        <v>9.1</v>
      </c>
      <c r="S14" s="37">
        <f>Assumptions!$H10*IF(LEFT($B14,9)="Baltic C5",S$4,S$5)</f>
        <v>12.5</v>
      </c>
      <c r="T14" s="37">
        <f>Assumptions!$H10*IF(LEFT($B14,9)="Baltic C5",T$4,T$5)</f>
        <v>10.8</v>
      </c>
      <c r="U14" s="37">
        <f>Assumptions!$H10*IF(LEFT($B14,9)="Baltic C5",U$4,U$5)</f>
        <v>10.199999999999999</v>
      </c>
      <c r="V14" s="37">
        <f>Assumptions!$H10*IF(LEFT($B14,9)="Baltic C5",V$4,V$5)</f>
        <v>9.8000000000000007</v>
      </c>
      <c r="W14" s="37">
        <f>Assumptions!$H10*IF(LEFT($B14,9)="Baltic C5",W$4,W$5)</f>
        <v>10</v>
      </c>
      <c r="X14" s="37">
        <f>Assumptions!$H10*IF(LEFT($B14,9)="Baltic C5",X$4,X$5)</f>
        <v>10.199999999999999</v>
      </c>
      <c r="Y14" s="37">
        <f>Assumptions!$H10*IF(LEFT($B14,9)="Baltic C5",Y$4,Y$5)</f>
        <v>10.4</v>
      </c>
      <c r="Z14" s="37">
        <f>Assumptions!$H10*IF(LEFT($B14,9)="Baltic C5",Z$4,Z$5)</f>
        <v>10.6</v>
      </c>
      <c r="AA14" s="37">
        <f>Assumptions!$H10*IF(LEFT($B14,9)="Baltic C5",AA$4,AA$5)</f>
        <v>10.8</v>
      </c>
      <c r="AB14" s="37">
        <f>Assumptions!$H10*IF(LEFT($B14,9)="Baltic C5",AB$4,AB$5)</f>
        <v>11</v>
      </c>
    </row>
    <row r="15" spans="1:59" x14ac:dyDescent="0.2">
      <c r="A15" s="7" t="s">
        <v>84</v>
      </c>
      <c r="B15" s="7" t="s">
        <v>56</v>
      </c>
      <c r="C15" s="37">
        <f>Assumptions!$H11*IF(LEFT($B15,9)="Baltic C5",C$4,C$5)</f>
        <v>10.712000000000002</v>
      </c>
      <c r="D15" s="37">
        <f>Assumptions!$H11*IF(LEFT($B15,9)="Baltic C5",D$4,D$5)</f>
        <v>9.3729999999999993</v>
      </c>
      <c r="E15" s="37">
        <f>Assumptions!$H11*IF(LEFT($B15,9)="Baltic C5",E$4,E$5)</f>
        <v>8.0340000000000007</v>
      </c>
      <c r="F15" s="37">
        <f>Assumptions!$H11*IF(LEFT($B15,9)="Baltic C5",F$4,F$5)</f>
        <v>9.0640000000000018</v>
      </c>
      <c r="G15" s="37">
        <f>Assumptions!$H11*IF(LEFT($B15,9)="Baltic C5",G$4,G$5)</f>
        <v>8.343</v>
      </c>
      <c r="H15" s="37">
        <f>Assumptions!$H11*IF(LEFT($B15,9)="Baltic C5",H$4,H$5)</f>
        <v>5.0470000000000006</v>
      </c>
      <c r="I15" s="37">
        <f>Assumptions!$H11*IF(LEFT($B15,9)="Baltic C5",I$4,I$5)</f>
        <v>4.6349999999999998</v>
      </c>
      <c r="J15" s="37">
        <f>Assumptions!$H11*IF(LEFT($B15,9)="Baltic C5",J$4,J$5)</f>
        <v>7.0039999999999996</v>
      </c>
      <c r="K15" s="37">
        <f>Assumptions!$H11*IF(LEFT($B15,9)="Baltic C5",K$4,K$5)</f>
        <v>7.8279999999999994</v>
      </c>
      <c r="L15" s="37">
        <f>Assumptions!$H11*IF(LEFT($B15,9)="Baltic C5",L$4,L$5)</f>
        <v>7.931</v>
      </c>
      <c r="M15" s="37">
        <f>Assumptions!$H11*IF(LEFT($B15,9)="Baltic C5",M$4,M$5)</f>
        <v>6.9010000000000007</v>
      </c>
      <c r="N15" s="37">
        <f>Assumptions!$H11*IF(LEFT($B15,9)="Baltic C5",N$4,N$5)</f>
        <v>12.462999999999999</v>
      </c>
      <c r="O15" s="37">
        <f>Assumptions!$H11*IF(LEFT($B15,9)="Baltic C5",O$4,O$5)</f>
        <v>10.197000000000001</v>
      </c>
      <c r="P15" s="37">
        <f>Assumptions!$H11*IF(LEFT($B15,9)="Baltic C5",P$4,P$5)</f>
        <v>8.9610000000000003</v>
      </c>
      <c r="Q15" s="37">
        <f>Assumptions!$H11*IF(LEFT($B15,9)="Baltic C5",Q$4,Q$5)</f>
        <v>10.403</v>
      </c>
      <c r="R15" s="37">
        <f>Assumptions!$H11*IF(LEFT($B15,9)="Baltic C5",R$4,R$5)</f>
        <v>9.3729999999999993</v>
      </c>
      <c r="S15" s="37">
        <f>Assumptions!$H11*IF(LEFT($B15,9)="Baltic C5",S$4,S$5)</f>
        <v>12.875</v>
      </c>
      <c r="T15" s="37">
        <f>Assumptions!$H11*IF(LEFT($B15,9)="Baltic C5",T$4,T$5)</f>
        <v>11.124000000000001</v>
      </c>
      <c r="U15" s="37">
        <f>Assumptions!$H11*IF(LEFT($B15,9)="Baltic C5",U$4,U$5)</f>
        <v>10.506</v>
      </c>
      <c r="V15" s="37">
        <f>Assumptions!$H11*IF(LEFT($B15,9)="Baltic C5",V$4,V$5)</f>
        <v>10.094000000000001</v>
      </c>
      <c r="W15" s="37">
        <f>Assumptions!$H11*IF(LEFT($B15,9)="Baltic C5",W$4,W$5)</f>
        <v>10.3</v>
      </c>
      <c r="X15" s="37">
        <f>Assumptions!$H11*IF(LEFT($B15,9)="Baltic C5",X$4,X$5)</f>
        <v>10.506</v>
      </c>
      <c r="Y15" s="37">
        <f>Assumptions!$H11*IF(LEFT($B15,9)="Baltic C5",Y$4,Y$5)</f>
        <v>10.712000000000002</v>
      </c>
      <c r="Z15" s="37">
        <f>Assumptions!$H11*IF(LEFT($B15,9)="Baltic C5",Z$4,Z$5)</f>
        <v>10.917999999999999</v>
      </c>
      <c r="AA15" s="37">
        <f>Assumptions!$H11*IF(LEFT($B15,9)="Baltic C5",AA$4,AA$5)</f>
        <v>11.124000000000001</v>
      </c>
      <c r="AB15" s="37">
        <f>Assumptions!$H11*IF(LEFT($B15,9)="Baltic C5",AB$4,AB$5)</f>
        <v>11.33</v>
      </c>
    </row>
    <row r="16" spans="1:59" x14ac:dyDescent="0.2">
      <c r="A16" s="7" t="s">
        <v>85</v>
      </c>
      <c r="B16" s="7" t="s">
        <v>55</v>
      </c>
      <c r="C16" s="37">
        <f>Assumptions!$H12*IF(LEFT($B16,9)="Baltic C5",C$4,C$5)</f>
        <v>10.4</v>
      </c>
      <c r="D16" s="37">
        <f>Assumptions!$H12*IF(LEFT($B16,9)="Baltic C5",D$4,D$5)</f>
        <v>9.1</v>
      </c>
      <c r="E16" s="37">
        <f>Assumptions!$H12*IF(LEFT($B16,9)="Baltic C5",E$4,E$5)</f>
        <v>7.8</v>
      </c>
      <c r="F16" s="37">
        <f>Assumptions!$H12*IF(LEFT($B16,9)="Baltic C5",F$4,F$5)</f>
        <v>8.8000000000000007</v>
      </c>
      <c r="G16" s="37">
        <f>Assumptions!$H12*IF(LEFT($B16,9)="Baltic C5",G$4,G$5)</f>
        <v>8.1</v>
      </c>
      <c r="H16" s="37">
        <f>Assumptions!$H12*IF(LEFT($B16,9)="Baltic C5",H$4,H$5)</f>
        <v>4.9000000000000004</v>
      </c>
      <c r="I16" s="37">
        <f>Assumptions!$H12*IF(LEFT($B16,9)="Baltic C5",I$4,I$5)</f>
        <v>4.5</v>
      </c>
      <c r="J16" s="37">
        <f>Assumptions!$H12*IF(LEFT($B16,9)="Baltic C5",J$4,J$5)</f>
        <v>6.8</v>
      </c>
      <c r="K16" s="37">
        <f>Assumptions!$H12*IF(LEFT($B16,9)="Baltic C5",K$4,K$5)</f>
        <v>7.6</v>
      </c>
      <c r="L16" s="37">
        <f>Assumptions!$H12*IF(LEFT($B16,9)="Baltic C5",L$4,L$5)</f>
        <v>7.7</v>
      </c>
      <c r="M16" s="37">
        <f>Assumptions!$H12*IF(LEFT($B16,9)="Baltic C5",M$4,M$5)</f>
        <v>6.7</v>
      </c>
      <c r="N16" s="37">
        <f>Assumptions!$H12*IF(LEFT($B16,9)="Baltic C5",N$4,N$5)</f>
        <v>12.1</v>
      </c>
      <c r="O16" s="37">
        <f>Assumptions!$H12*IF(LEFT($B16,9)="Baltic C5",O$4,O$5)</f>
        <v>9.9</v>
      </c>
      <c r="P16" s="37">
        <f>Assumptions!$H12*IF(LEFT($B16,9)="Baltic C5",P$4,P$5)</f>
        <v>8.6999999999999993</v>
      </c>
      <c r="Q16" s="37">
        <f>Assumptions!$H12*IF(LEFT($B16,9)="Baltic C5",Q$4,Q$5)</f>
        <v>10.1</v>
      </c>
      <c r="R16" s="37">
        <f>Assumptions!$H12*IF(LEFT($B16,9)="Baltic C5",R$4,R$5)</f>
        <v>9.1</v>
      </c>
      <c r="S16" s="37">
        <f>Assumptions!$H12*IF(LEFT($B16,9)="Baltic C5",S$4,S$5)</f>
        <v>12.5</v>
      </c>
      <c r="T16" s="37">
        <f>Assumptions!$H12*IF(LEFT($B16,9)="Baltic C5",T$4,T$5)</f>
        <v>10.8</v>
      </c>
      <c r="U16" s="37">
        <f>Assumptions!$H12*IF(LEFT($B16,9)="Baltic C5",U$4,U$5)</f>
        <v>10.199999999999999</v>
      </c>
      <c r="V16" s="37">
        <f>Assumptions!$H12*IF(LEFT($B16,9)="Baltic C5",V$4,V$5)</f>
        <v>9.8000000000000007</v>
      </c>
      <c r="W16" s="37">
        <f>Assumptions!$H12*IF(LEFT($B16,9)="Baltic C5",W$4,W$5)</f>
        <v>10</v>
      </c>
      <c r="X16" s="37">
        <f>Assumptions!$H12*IF(LEFT($B16,9)="Baltic C5",X$4,X$5)</f>
        <v>10.199999999999999</v>
      </c>
      <c r="Y16" s="37">
        <f>Assumptions!$H12*IF(LEFT($B16,9)="Baltic C5",Y$4,Y$5)</f>
        <v>10.4</v>
      </c>
      <c r="Z16" s="37">
        <f>Assumptions!$H12*IF(LEFT($B16,9)="Baltic C5",Z$4,Z$5)</f>
        <v>10.6</v>
      </c>
      <c r="AA16" s="37">
        <f>Assumptions!$H12*IF(LEFT($B16,9)="Baltic C5",AA$4,AA$5)</f>
        <v>10.8</v>
      </c>
      <c r="AB16" s="37">
        <f>Assumptions!$H12*IF(LEFT($B16,9)="Baltic C5",AB$4,AB$5)</f>
        <v>11</v>
      </c>
    </row>
    <row r="17" spans="1:28" x14ac:dyDescent="0.2">
      <c r="A17" s="7" t="s">
        <v>81</v>
      </c>
      <c r="B17" s="7" t="s">
        <v>55</v>
      </c>
      <c r="C17" s="37">
        <f>Assumptions!$H13*IF(LEFT($B17,9)="Baltic C5",C$4,C$5)</f>
        <v>10.4</v>
      </c>
      <c r="D17" s="37">
        <f>Assumptions!$H13*IF(LEFT($B17,9)="Baltic C5",D$4,D$5)</f>
        <v>9.1</v>
      </c>
      <c r="E17" s="37">
        <f>Assumptions!$H13*IF(LEFT($B17,9)="Baltic C5",E$4,E$5)</f>
        <v>7.8</v>
      </c>
      <c r="F17" s="37">
        <f>Assumptions!$H13*IF(LEFT($B17,9)="Baltic C5",F$4,F$5)</f>
        <v>8.8000000000000007</v>
      </c>
      <c r="G17" s="37">
        <f>Assumptions!$H13*IF(LEFT($B17,9)="Baltic C5",G$4,G$5)</f>
        <v>8.1</v>
      </c>
      <c r="H17" s="37">
        <f>Assumptions!$H13*IF(LEFT($B17,9)="Baltic C5",H$4,H$5)</f>
        <v>4.9000000000000004</v>
      </c>
      <c r="I17" s="37">
        <f>Assumptions!$H13*IF(LEFT($B17,9)="Baltic C5",I$4,I$5)</f>
        <v>4.5</v>
      </c>
      <c r="J17" s="37">
        <f>Assumptions!$H13*IF(LEFT($B17,9)="Baltic C5",J$4,J$5)</f>
        <v>6.8</v>
      </c>
      <c r="K17" s="37">
        <f>Assumptions!$H13*IF(LEFT($B17,9)="Baltic C5",K$4,K$5)</f>
        <v>7.6</v>
      </c>
      <c r="L17" s="37">
        <f>Assumptions!$H13*IF(LEFT($B17,9)="Baltic C5",L$4,L$5)</f>
        <v>7.7</v>
      </c>
      <c r="M17" s="37">
        <f>Assumptions!$H13*IF(LEFT($B17,9)="Baltic C5",M$4,M$5)</f>
        <v>6.7</v>
      </c>
      <c r="N17" s="37">
        <f>Assumptions!$H13*IF(LEFT($B17,9)="Baltic C5",N$4,N$5)</f>
        <v>12.1</v>
      </c>
      <c r="O17" s="37">
        <f>Assumptions!$H13*IF(LEFT($B17,9)="Baltic C5",O$4,O$5)</f>
        <v>9.9</v>
      </c>
      <c r="P17" s="37">
        <f>Assumptions!$H13*IF(LEFT($B17,9)="Baltic C5",P$4,P$5)</f>
        <v>8.6999999999999993</v>
      </c>
      <c r="Q17" s="37">
        <f>Assumptions!$H13*IF(LEFT($B17,9)="Baltic C5",Q$4,Q$5)</f>
        <v>10.1</v>
      </c>
      <c r="R17" s="37">
        <f>Assumptions!$H13*IF(LEFT($B17,9)="Baltic C5",R$4,R$5)</f>
        <v>9.1</v>
      </c>
      <c r="S17" s="37">
        <f>Assumptions!$H13*IF(LEFT($B17,9)="Baltic C5",S$4,S$5)</f>
        <v>12.5</v>
      </c>
      <c r="T17" s="37">
        <f>Assumptions!$H13*IF(LEFT($B17,9)="Baltic C5",T$4,T$5)</f>
        <v>10.8</v>
      </c>
      <c r="U17" s="37">
        <f>Assumptions!$H13*IF(LEFT($B17,9)="Baltic C5",U$4,U$5)</f>
        <v>10.199999999999999</v>
      </c>
      <c r="V17" s="37">
        <f>Assumptions!$H13*IF(LEFT($B17,9)="Baltic C5",V$4,V$5)</f>
        <v>9.8000000000000007</v>
      </c>
      <c r="W17" s="37">
        <f>Assumptions!$H13*IF(LEFT($B17,9)="Baltic C5",W$4,W$5)</f>
        <v>10</v>
      </c>
      <c r="X17" s="37">
        <f>Assumptions!$H13*IF(LEFT($B17,9)="Baltic C5",X$4,X$5)</f>
        <v>10.199999999999999</v>
      </c>
      <c r="Y17" s="37">
        <f>Assumptions!$H13*IF(LEFT($B17,9)="Baltic C5",Y$4,Y$5)</f>
        <v>10.4</v>
      </c>
      <c r="Z17" s="37">
        <f>Assumptions!$H13*IF(LEFT($B17,9)="Baltic C5",Z$4,Z$5)</f>
        <v>10.6</v>
      </c>
      <c r="AA17" s="37">
        <f>Assumptions!$H13*IF(LEFT($B17,9)="Baltic C5",AA$4,AA$5)</f>
        <v>10.8</v>
      </c>
      <c r="AB17" s="37">
        <f>Assumptions!$H13*IF(LEFT($B17,9)="Baltic C5",AB$4,AB$5)</f>
        <v>11</v>
      </c>
    </row>
    <row r="18" spans="1:28" x14ac:dyDescent="0.2">
      <c r="A18" s="7" t="s">
        <v>86</v>
      </c>
      <c r="B18" s="7" t="s">
        <v>55</v>
      </c>
      <c r="C18" s="37">
        <f>Assumptions!$H14*IF(LEFT($B18,9)="Baltic C5",C$4,C$5)</f>
        <v>10.4</v>
      </c>
      <c r="D18" s="37">
        <f>Assumptions!$H14*IF(LEFT($B18,9)="Baltic C5",D$4,D$5)</f>
        <v>9.1</v>
      </c>
      <c r="E18" s="37">
        <f>Assumptions!$H14*IF(LEFT($B18,9)="Baltic C5",E$4,E$5)</f>
        <v>7.8</v>
      </c>
      <c r="F18" s="37">
        <f>Assumptions!$H14*IF(LEFT($B18,9)="Baltic C5",F$4,F$5)</f>
        <v>8.8000000000000007</v>
      </c>
      <c r="G18" s="37">
        <f>Assumptions!$H14*IF(LEFT($B18,9)="Baltic C5",G$4,G$5)</f>
        <v>8.1</v>
      </c>
      <c r="H18" s="37">
        <f>Assumptions!$H14*IF(LEFT($B18,9)="Baltic C5",H$4,H$5)</f>
        <v>4.9000000000000004</v>
      </c>
      <c r="I18" s="37">
        <f>Assumptions!$H14*IF(LEFT($B18,9)="Baltic C5",I$4,I$5)</f>
        <v>4.5</v>
      </c>
      <c r="J18" s="37">
        <f>Assumptions!$H14*IF(LEFT($B18,9)="Baltic C5",J$4,J$5)</f>
        <v>6.8</v>
      </c>
      <c r="K18" s="37">
        <f>Assumptions!$H14*IF(LEFT($B18,9)="Baltic C5",K$4,K$5)</f>
        <v>7.6</v>
      </c>
      <c r="L18" s="37">
        <f>Assumptions!$H14*IF(LEFT($B18,9)="Baltic C5",L$4,L$5)</f>
        <v>7.7</v>
      </c>
      <c r="M18" s="37">
        <f>Assumptions!$H14*IF(LEFT($B18,9)="Baltic C5",M$4,M$5)</f>
        <v>6.7</v>
      </c>
      <c r="N18" s="37">
        <f>Assumptions!$H14*IF(LEFT($B18,9)="Baltic C5",N$4,N$5)</f>
        <v>12.1</v>
      </c>
      <c r="O18" s="37">
        <f>Assumptions!$H14*IF(LEFT($B18,9)="Baltic C5",O$4,O$5)</f>
        <v>9.9</v>
      </c>
      <c r="P18" s="37">
        <f>Assumptions!$H14*IF(LEFT($B18,9)="Baltic C5",P$4,P$5)</f>
        <v>8.6999999999999993</v>
      </c>
      <c r="Q18" s="37">
        <f>Assumptions!$H14*IF(LEFT($B18,9)="Baltic C5",Q$4,Q$5)</f>
        <v>10.1</v>
      </c>
      <c r="R18" s="37">
        <f>Assumptions!$H14*IF(LEFT($B18,9)="Baltic C5",R$4,R$5)</f>
        <v>9.1</v>
      </c>
      <c r="S18" s="37">
        <f>Assumptions!$H14*IF(LEFT($B18,9)="Baltic C5",S$4,S$5)</f>
        <v>12.5</v>
      </c>
      <c r="T18" s="37">
        <f>Assumptions!$H14*IF(LEFT($B18,9)="Baltic C5",T$4,T$5)</f>
        <v>10.8</v>
      </c>
      <c r="U18" s="37">
        <f>Assumptions!$H14*IF(LEFT($B18,9)="Baltic C5",U$4,U$5)</f>
        <v>10.199999999999999</v>
      </c>
      <c r="V18" s="37">
        <f>Assumptions!$H14*IF(LEFT($B18,9)="Baltic C5",V$4,V$5)</f>
        <v>9.8000000000000007</v>
      </c>
      <c r="W18" s="37">
        <f>Assumptions!$H14*IF(LEFT($B18,9)="Baltic C5",W$4,W$5)</f>
        <v>10</v>
      </c>
      <c r="X18" s="37">
        <f>Assumptions!$H14*IF(LEFT($B18,9)="Baltic C5",X$4,X$5)</f>
        <v>10.199999999999999</v>
      </c>
      <c r="Y18" s="37">
        <f>Assumptions!$H14*IF(LEFT($B18,9)="Baltic C5",Y$4,Y$5)</f>
        <v>10.4</v>
      </c>
      <c r="Z18" s="37">
        <f>Assumptions!$H14*IF(LEFT($B18,9)="Baltic C5",Z$4,Z$5)</f>
        <v>10.6</v>
      </c>
      <c r="AA18" s="37">
        <f>Assumptions!$H14*IF(LEFT($B18,9)="Baltic C5",AA$4,AA$5)</f>
        <v>10.8</v>
      </c>
      <c r="AB18" s="37">
        <f>Assumptions!$H14*IF(LEFT($B18,9)="Baltic C5",AB$4,AB$5)</f>
        <v>11</v>
      </c>
    </row>
    <row r="19" spans="1:28" x14ac:dyDescent="0.2">
      <c r="A19" s="7" t="s">
        <v>88</v>
      </c>
      <c r="B19" s="7" t="s">
        <v>343</v>
      </c>
      <c r="C19" s="37">
        <f>Assumptions!$H15*IF(LEFT($B19,9)="Baltic C5",C$4,C$5)</f>
        <v>19.125999999999998</v>
      </c>
      <c r="D19" s="37">
        <f>Assumptions!$H15*IF(LEFT($B19,9)="Baltic C5",D$4,D$5)</f>
        <v>16.425000000000001</v>
      </c>
      <c r="E19" s="37">
        <f>Assumptions!$H15*IF(LEFT($B19,9)="Baltic C5",E$4,E$5)</f>
        <v>14.380999999999998</v>
      </c>
      <c r="F19" s="37">
        <f>Assumptions!$H15*IF(LEFT($B19,9)="Baltic C5",F$4,F$5)</f>
        <v>15.403</v>
      </c>
      <c r="G19" s="37">
        <f>Assumptions!$H15*IF(LEFT($B19,9)="Baltic C5",G$4,G$5)</f>
        <v>15.038</v>
      </c>
      <c r="H19" s="37">
        <f>Assumptions!$H15*IF(LEFT($B19,9)="Baltic C5",H$4,H$5)</f>
        <v>8.1760000000000002</v>
      </c>
      <c r="I19" s="37">
        <f>Assumptions!$H15*IF(LEFT($B19,9)="Baltic C5",I$4,I$5)</f>
        <v>6.6429999999999998</v>
      </c>
      <c r="J19" s="37">
        <f>Assumptions!$H15*IF(LEFT($B19,9)="Baltic C5",J$4,J$5)</f>
        <v>11.096</v>
      </c>
      <c r="K19" s="37">
        <f>Assumptions!$H15*IF(LEFT($B19,9)="Baltic C5",K$4,K$5)</f>
        <v>13.431999999999999</v>
      </c>
      <c r="L19" s="37">
        <f>Assumptions!$H15*IF(LEFT($B19,9)="Baltic C5",L$4,L$5)</f>
        <v>13.578000000000001</v>
      </c>
      <c r="M19" s="37">
        <f>Assumptions!$H15*IF(LEFT($B19,9)="Baltic C5",M$4,M$5)</f>
        <v>10.804</v>
      </c>
      <c r="N19" s="37">
        <f>Assumptions!$H15*IF(LEFT($B19,9)="Baltic C5",N$4,N$5)</f>
        <v>19.491</v>
      </c>
      <c r="O19" s="37">
        <f>Assumptions!$H15*IF(LEFT($B19,9)="Baltic C5",O$4,O$5)</f>
        <v>17.52</v>
      </c>
      <c r="P19" s="37">
        <f>Assumptions!$H15*IF(LEFT($B19,9)="Baltic C5",P$4,P$5)</f>
        <v>15.33</v>
      </c>
      <c r="Q19" s="37">
        <f>Assumptions!$H15*IF(LEFT($B19,9)="Baltic C5",Q$4,Q$5)</f>
        <v>18.25</v>
      </c>
      <c r="R19" s="37">
        <f>Assumptions!$H15*IF(LEFT($B19,9)="Baltic C5",R$4,R$5)</f>
        <v>15.986999999999998</v>
      </c>
      <c r="S19" s="37">
        <f>Assumptions!$H15*IF(LEFT($B19,9)="Baltic C5",S$4,S$5)</f>
        <v>22.63</v>
      </c>
      <c r="T19" s="37">
        <f>Assumptions!$H15*IF(LEFT($B19,9)="Baltic C5",T$4,T$5)</f>
        <v>18.614999999999998</v>
      </c>
      <c r="U19" s="37">
        <f>Assumptions!$H15*IF(LEFT($B19,9)="Baltic C5",U$4,U$5)</f>
        <v>16.936</v>
      </c>
      <c r="V19" s="37">
        <f>Assumptions!$H15*IF(LEFT($B19,9)="Baltic C5",V$4,V$5)</f>
        <v>15.914</v>
      </c>
      <c r="W19" s="37">
        <f>Assumptions!$H15*IF(LEFT($B19,9)="Baltic C5",W$4,W$5)</f>
        <v>16.206</v>
      </c>
      <c r="X19" s="37">
        <f>Assumptions!$H15*IF(LEFT($B19,9)="Baltic C5",X$4,X$5)</f>
        <v>16.570999999999998</v>
      </c>
      <c r="Y19" s="37">
        <f>Assumptions!$H15*IF(LEFT($B19,9)="Baltic C5",Y$4,Y$5)</f>
        <v>16.863</v>
      </c>
      <c r="Z19" s="37">
        <f>Assumptions!$H15*IF(LEFT($B19,9)="Baltic C5",Z$4,Z$5)</f>
        <v>17.228000000000002</v>
      </c>
      <c r="AA19" s="37">
        <f>Assumptions!$H15*IF(LEFT($B19,9)="Baltic C5",AA$4,AA$5)</f>
        <v>17.593</v>
      </c>
      <c r="AB19" s="37">
        <f>Assumptions!$H15*IF(LEFT($B19,9)="Baltic C5",AB$4,AB$5)</f>
        <v>17.958000000000002</v>
      </c>
    </row>
    <row r="20" spans="1:28" x14ac:dyDescent="0.2">
      <c r="A20" s="7" t="s">
        <v>93</v>
      </c>
      <c r="B20" s="7" t="s">
        <v>344</v>
      </c>
      <c r="C20" s="37">
        <f>Assumptions!$H16*IF(LEFT($B20,9)="Baltic C5",C$4,C$5)</f>
        <v>33.274000000000001</v>
      </c>
      <c r="D20" s="37">
        <f>Assumptions!$H16*IF(LEFT($B20,9)="Baltic C5",D$4,D$5)</f>
        <v>28.574999999999999</v>
      </c>
      <c r="E20" s="37">
        <f>Assumptions!$H16*IF(LEFT($B20,9)="Baltic C5",E$4,E$5)</f>
        <v>25.018999999999998</v>
      </c>
      <c r="F20" s="37">
        <f>Assumptions!$H16*IF(LEFT($B20,9)="Baltic C5",F$4,F$5)</f>
        <v>26.797000000000001</v>
      </c>
      <c r="G20" s="37">
        <f>Assumptions!$H16*IF(LEFT($B20,9)="Baltic C5",G$4,G$5)</f>
        <v>26.162000000000003</v>
      </c>
      <c r="H20" s="37">
        <f>Assumptions!$H16*IF(LEFT($B20,9)="Baltic C5",H$4,H$5)</f>
        <v>14.223999999999998</v>
      </c>
      <c r="I20" s="37">
        <f>Assumptions!$H16*IF(LEFT($B20,9)="Baltic C5",I$4,I$5)</f>
        <v>11.557</v>
      </c>
      <c r="J20" s="37">
        <f>Assumptions!$H16*IF(LEFT($B20,9)="Baltic C5",J$4,J$5)</f>
        <v>19.303999999999998</v>
      </c>
      <c r="K20" s="37">
        <f>Assumptions!$H16*IF(LEFT($B20,9)="Baltic C5",K$4,K$5)</f>
        <v>23.367999999999999</v>
      </c>
      <c r="L20" s="37">
        <f>Assumptions!$H16*IF(LEFT($B20,9)="Baltic C5",L$4,L$5)</f>
        <v>23.622000000000003</v>
      </c>
      <c r="M20" s="37">
        <f>Assumptions!$H16*IF(LEFT($B20,9)="Baltic C5",M$4,M$5)</f>
        <v>18.796000000000003</v>
      </c>
      <c r="N20" s="37">
        <f>Assumptions!$H16*IF(LEFT($B20,9)="Baltic C5",N$4,N$5)</f>
        <v>33.908999999999999</v>
      </c>
      <c r="O20" s="37">
        <f>Assumptions!$H16*IF(LEFT($B20,9)="Baltic C5",O$4,O$5)</f>
        <v>30.48</v>
      </c>
      <c r="P20" s="37">
        <f>Assumptions!$H16*IF(LEFT($B20,9)="Baltic C5",P$4,P$5)</f>
        <v>26.67</v>
      </c>
      <c r="Q20" s="37">
        <f>Assumptions!$H16*IF(LEFT($B20,9)="Baltic C5",Q$4,Q$5)</f>
        <v>31.75</v>
      </c>
      <c r="R20" s="37">
        <f>Assumptions!$H16*IF(LEFT($B20,9)="Baltic C5",R$4,R$5)</f>
        <v>27.812999999999999</v>
      </c>
      <c r="S20" s="37">
        <f>Assumptions!$H16*IF(LEFT($B20,9)="Baltic C5",S$4,S$5)</f>
        <v>39.369999999999997</v>
      </c>
      <c r="T20" s="37">
        <f>Assumptions!$H16*IF(LEFT($B20,9)="Baltic C5",T$4,T$5)</f>
        <v>32.384999999999998</v>
      </c>
      <c r="U20" s="37">
        <f>Assumptions!$H16*IF(LEFT($B20,9)="Baltic C5",U$4,U$5)</f>
        <v>29.463999999999999</v>
      </c>
      <c r="V20" s="37">
        <f>Assumptions!$H16*IF(LEFT($B20,9)="Baltic C5",V$4,V$5)</f>
        <v>27.686</v>
      </c>
      <c r="W20" s="37">
        <f>Assumptions!$H16*IF(LEFT($B20,9)="Baltic C5",W$4,W$5)</f>
        <v>28.193999999999999</v>
      </c>
      <c r="X20" s="37">
        <f>Assumptions!$H16*IF(LEFT($B20,9)="Baltic C5",X$4,X$5)</f>
        <v>28.829000000000001</v>
      </c>
      <c r="Y20" s="37">
        <f>Assumptions!$H16*IF(LEFT($B20,9)="Baltic C5",Y$4,Y$5)</f>
        <v>29.337000000000003</v>
      </c>
      <c r="Z20" s="37">
        <f>Assumptions!$H16*IF(LEFT($B20,9)="Baltic C5",Z$4,Z$5)</f>
        <v>29.972000000000001</v>
      </c>
      <c r="AA20" s="37">
        <f>Assumptions!$H16*IF(LEFT($B20,9)="Baltic C5",AA$4,AA$5)</f>
        <v>30.607000000000003</v>
      </c>
      <c r="AB20" s="37">
        <f>Assumptions!$H16*IF(LEFT($B20,9)="Baltic C5",AB$4,AB$5)</f>
        <v>31.242000000000001</v>
      </c>
    </row>
    <row r="21" spans="1:28" x14ac:dyDescent="0.2">
      <c r="A21" s="7" t="s">
        <v>97</v>
      </c>
      <c r="B21" s="7" t="s">
        <v>344</v>
      </c>
      <c r="C21" s="37">
        <f>Assumptions!$H17*IF(LEFT($B21,9)="Baltic C5",C$4,C$5)</f>
        <v>33.274000000000001</v>
      </c>
      <c r="D21" s="37">
        <f>Assumptions!$H17*IF(LEFT($B21,9)="Baltic C5",D$4,D$5)</f>
        <v>28.574999999999999</v>
      </c>
      <c r="E21" s="37">
        <f>Assumptions!$H17*IF(LEFT($B21,9)="Baltic C5",E$4,E$5)</f>
        <v>25.018999999999998</v>
      </c>
      <c r="F21" s="37">
        <f>Assumptions!$H17*IF(LEFT($B21,9)="Baltic C5",F$4,F$5)</f>
        <v>26.797000000000001</v>
      </c>
      <c r="G21" s="37">
        <f>Assumptions!$H17*IF(LEFT($B21,9)="Baltic C5",G$4,G$5)</f>
        <v>26.162000000000003</v>
      </c>
      <c r="H21" s="37">
        <f>Assumptions!$H17*IF(LEFT($B21,9)="Baltic C5",H$4,H$5)</f>
        <v>14.223999999999998</v>
      </c>
      <c r="I21" s="37">
        <f>Assumptions!$H17*IF(LEFT($B21,9)="Baltic C5",I$4,I$5)</f>
        <v>11.557</v>
      </c>
      <c r="J21" s="37">
        <f>Assumptions!$H17*IF(LEFT($B21,9)="Baltic C5",J$4,J$5)</f>
        <v>19.303999999999998</v>
      </c>
      <c r="K21" s="37">
        <f>Assumptions!$H17*IF(LEFT($B21,9)="Baltic C5",K$4,K$5)</f>
        <v>23.367999999999999</v>
      </c>
      <c r="L21" s="37">
        <f>Assumptions!$H17*IF(LEFT($B21,9)="Baltic C5",L$4,L$5)</f>
        <v>23.622000000000003</v>
      </c>
      <c r="M21" s="37">
        <f>Assumptions!$H17*IF(LEFT($B21,9)="Baltic C5",M$4,M$5)</f>
        <v>18.796000000000003</v>
      </c>
      <c r="N21" s="37">
        <f>Assumptions!$H17*IF(LEFT($B21,9)="Baltic C5",N$4,N$5)</f>
        <v>33.908999999999999</v>
      </c>
      <c r="O21" s="37">
        <f>Assumptions!$H17*IF(LEFT($B21,9)="Baltic C5",O$4,O$5)</f>
        <v>30.48</v>
      </c>
      <c r="P21" s="37">
        <f>Assumptions!$H17*IF(LEFT($B21,9)="Baltic C5",P$4,P$5)</f>
        <v>26.67</v>
      </c>
      <c r="Q21" s="37">
        <f>Assumptions!$H17*IF(LEFT($B21,9)="Baltic C5",Q$4,Q$5)</f>
        <v>31.75</v>
      </c>
      <c r="R21" s="37">
        <f>Assumptions!$H17*IF(LEFT($B21,9)="Baltic C5",R$4,R$5)</f>
        <v>27.812999999999999</v>
      </c>
      <c r="S21" s="37">
        <f>Assumptions!$H17*IF(LEFT($B21,9)="Baltic C5",S$4,S$5)</f>
        <v>39.369999999999997</v>
      </c>
      <c r="T21" s="37">
        <f>Assumptions!$H17*IF(LEFT($B21,9)="Baltic C5",T$4,T$5)</f>
        <v>32.384999999999998</v>
      </c>
      <c r="U21" s="37">
        <f>Assumptions!$H17*IF(LEFT($B21,9)="Baltic C5",U$4,U$5)</f>
        <v>29.463999999999999</v>
      </c>
      <c r="V21" s="37">
        <f>Assumptions!$H17*IF(LEFT($B21,9)="Baltic C5",V$4,V$5)</f>
        <v>27.686</v>
      </c>
      <c r="W21" s="37">
        <f>Assumptions!$H17*IF(LEFT($B21,9)="Baltic C5",W$4,W$5)</f>
        <v>28.193999999999999</v>
      </c>
      <c r="X21" s="37">
        <f>Assumptions!$H17*IF(LEFT($B21,9)="Baltic C5",X$4,X$5)</f>
        <v>28.829000000000001</v>
      </c>
      <c r="Y21" s="37">
        <f>Assumptions!$H17*IF(LEFT($B21,9)="Baltic C5",Y$4,Y$5)</f>
        <v>29.337000000000003</v>
      </c>
      <c r="Z21" s="37">
        <f>Assumptions!$H17*IF(LEFT($B21,9)="Baltic C5",Z$4,Z$5)</f>
        <v>29.972000000000001</v>
      </c>
      <c r="AA21" s="37">
        <f>Assumptions!$H17*IF(LEFT($B21,9)="Baltic C5",AA$4,AA$5)</f>
        <v>30.607000000000003</v>
      </c>
      <c r="AB21" s="37">
        <f>Assumptions!$H17*IF(LEFT($B21,9)="Baltic C5",AB$4,AB$5)</f>
        <v>31.242000000000001</v>
      </c>
    </row>
    <row r="22" spans="1:28" x14ac:dyDescent="0.2">
      <c r="A22" s="7" t="s">
        <v>99</v>
      </c>
      <c r="B22" s="7" t="s">
        <v>342</v>
      </c>
      <c r="C22" s="37">
        <f>Assumptions!$H18*IF(LEFT($B22,9)="Baltic C5",C$4,C$5)</f>
        <v>26.462</v>
      </c>
      <c r="D22" s="37">
        <f>Assumptions!$H18*IF(LEFT($B22,9)="Baltic C5",D$4,D$5)</f>
        <v>22.725000000000001</v>
      </c>
      <c r="E22" s="37">
        <f>Assumptions!$H18*IF(LEFT($B22,9)="Baltic C5",E$4,E$5)</f>
        <v>19.896999999999998</v>
      </c>
      <c r="F22" s="37">
        <f>Assumptions!$H18*IF(LEFT($B22,9)="Baltic C5",F$4,F$5)</f>
        <v>21.311</v>
      </c>
      <c r="G22" s="37">
        <f>Assumptions!$H18*IF(LEFT($B22,9)="Baltic C5",G$4,G$5)</f>
        <v>20.806000000000001</v>
      </c>
      <c r="H22" s="37">
        <f>Assumptions!$H18*IF(LEFT($B22,9)="Baltic C5",H$4,H$5)</f>
        <v>11.311999999999999</v>
      </c>
      <c r="I22" s="37">
        <f>Assumptions!$H18*IF(LEFT($B22,9)="Baltic C5",I$4,I$5)</f>
        <v>9.1909999999999989</v>
      </c>
      <c r="J22" s="37">
        <f>Assumptions!$H18*IF(LEFT($B22,9)="Baltic C5",J$4,J$5)</f>
        <v>15.351999999999999</v>
      </c>
      <c r="K22" s="37">
        <f>Assumptions!$H18*IF(LEFT($B22,9)="Baltic C5",K$4,K$5)</f>
        <v>18.584</v>
      </c>
      <c r="L22" s="37">
        <f>Assumptions!$H18*IF(LEFT($B22,9)="Baltic C5",L$4,L$5)</f>
        <v>18.786000000000001</v>
      </c>
      <c r="M22" s="37">
        <f>Assumptions!$H18*IF(LEFT($B22,9)="Baltic C5",M$4,M$5)</f>
        <v>14.948</v>
      </c>
      <c r="N22" s="37">
        <f>Assumptions!$H18*IF(LEFT($B22,9)="Baltic C5",N$4,N$5)</f>
        <v>26.966999999999999</v>
      </c>
      <c r="O22" s="37">
        <f>Assumptions!$H18*IF(LEFT($B22,9)="Baltic C5",O$4,O$5)</f>
        <v>24.240000000000002</v>
      </c>
      <c r="P22" s="37">
        <f>Assumptions!$H18*IF(LEFT($B22,9)="Baltic C5",P$4,P$5)</f>
        <v>21.21</v>
      </c>
      <c r="Q22" s="37">
        <f>Assumptions!$H18*IF(LEFT($B22,9)="Baltic C5",Q$4,Q$5)</f>
        <v>25.25</v>
      </c>
      <c r="R22" s="37">
        <f>Assumptions!$H18*IF(LEFT($B22,9)="Baltic C5",R$4,R$5)</f>
        <v>22.119</v>
      </c>
      <c r="S22" s="37">
        <f>Assumptions!$H18*IF(LEFT($B22,9)="Baltic C5",S$4,S$5)</f>
        <v>31.31</v>
      </c>
      <c r="T22" s="37">
        <f>Assumptions!$H18*IF(LEFT($B22,9)="Baltic C5",T$4,T$5)</f>
        <v>25.754999999999999</v>
      </c>
      <c r="U22" s="37">
        <f>Assumptions!$H18*IF(LEFT($B22,9)="Baltic C5",U$4,U$5)</f>
        <v>23.431999999999999</v>
      </c>
      <c r="V22" s="37">
        <f>Assumptions!$H18*IF(LEFT($B22,9)="Baltic C5",V$4,V$5)</f>
        <v>22.018000000000001</v>
      </c>
      <c r="W22" s="37">
        <f>Assumptions!$H18*IF(LEFT($B22,9)="Baltic C5",W$4,W$5)</f>
        <v>22.422000000000001</v>
      </c>
      <c r="X22" s="37">
        <f>Assumptions!$H18*IF(LEFT($B22,9)="Baltic C5",X$4,X$5)</f>
        <v>22.927</v>
      </c>
      <c r="Y22" s="37">
        <f>Assumptions!$H18*IF(LEFT($B22,9)="Baltic C5",Y$4,Y$5)</f>
        <v>23.331000000000003</v>
      </c>
      <c r="Z22" s="37">
        <f>Assumptions!$H18*IF(LEFT($B22,9)="Baltic C5",Z$4,Z$5)</f>
        <v>23.836000000000002</v>
      </c>
      <c r="AA22" s="37">
        <f>Assumptions!$H18*IF(LEFT($B22,9)="Baltic C5",AA$4,AA$5)</f>
        <v>24.341000000000001</v>
      </c>
      <c r="AB22" s="37">
        <f>Assumptions!$H18*IF(LEFT($B22,9)="Baltic C5",AB$4,AB$5)</f>
        <v>24.846</v>
      </c>
    </row>
    <row r="23" spans="1:28" x14ac:dyDescent="0.2">
      <c r="A23" s="7" t="s">
        <v>103</v>
      </c>
      <c r="B23" s="7" t="s">
        <v>345</v>
      </c>
      <c r="C23" s="37">
        <f>Assumptions!$H19*IF(LEFT($B23,9)="Baltic C5",C$4,C$5)</f>
        <v>25.937999999999999</v>
      </c>
      <c r="D23" s="37">
        <f>Assumptions!$H19*IF(LEFT($B23,9)="Baltic C5",D$4,D$5)</f>
        <v>22.274999999999999</v>
      </c>
      <c r="E23" s="37">
        <f>Assumptions!$H19*IF(LEFT($B23,9)="Baltic C5",E$4,E$5)</f>
        <v>19.503</v>
      </c>
      <c r="F23" s="37">
        <f>Assumptions!$H19*IF(LEFT($B23,9)="Baltic C5",F$4,F$5)</f>
        <v>20.889000000000003</v>
      </c>
      <c r="G23" s="37">
        <f>Assumptions!$H19*IF(LEFT($B23,9)="Baltic C5",G$4,G$5)</f>
        <v>20.394000000000002</v>
      </c>
      <c r="H23" s="37">
        <f>Assumptions!$H19*IF(LEFT($B23,9)="Baltic C5",H$4,H$5)</f>
        <v>11.087999999999999</v>
      </c>
      <c r="I23" s="37">
        <f>Assumptions!$H19*IF(LEFT($B23,9)="Baltic C5",I$4,I$5)</f>
        <v>9.0090000000000003</v>
      </c>
      <c r="J23" s="37">
        <f>Assumptions!$H19*IF(LEFT($B23,9)="Baltic C5",J$4,J$5)</f>
        <v>15.048</v>
      </c>
      <c r="K23" s="37">
        <f>Assumptions!$H19*IF(LEFT($B23,9)="Baltic C5",K$4,K$5)</f>
        <v>18.215999999999998</v>
      </c>
      <c r="L23" s="37">
        <f>Assumptions!$H19*IF(LEFT($B23,9)="Baltic C5",L$4,L$5)</f>
        <v>18.414000000000001</v>
      </c>
      <c r="M23" s="37">
        <f>Assumptions!$H19*IF(LEFT($B23,9)="Baltic C5",M$4,M$5)</f>
        <v>14.652000000000001</v>
      </c>
      <c r="N23" s="37">
        <f>Assumptions!$H19*IF(LEFT($B23,9)="Baltic C5",N$4,N$5)</f>
        <v>26.433</v>
      </c>
      <c r="O23" s="37">
        <f>Assumptions!$H19*IF(LEFT($B23,9)="Baltic C5",O$4,O$5)</f>
        <v>23.759999999999998</v>
      </c>
      <c r="P23" s="37">
        <f>Assumptions!$H19*IF(LEFT($B23,9)="Baltic C5",P$4,P$5)</f>
        <v>20.79</v>
      </c>
      <c r="Q23" s="37">
        <f>Assumptions!$H19*IF(LEFT($B23,9)="Baltic C5",Q$4,Q$5)</f>
        <v>24.75</v>
      </c>
      <c r="R23" s="37">
        <f>Assumptions!$H19*IF(LEFT($B23,9)="Baltic C5",R$4,R$5)</f>
        <v>21.680999999999997</v>
      </c>
      <c r="S23" s="37">
        <f>Assumptions!$H19*IF(LEFT($B23,9)="Baltic C5",S$4,S$5)</f>
        <v>30.69</v>
      </c>
      <c r="T23" s="37">
        <f>Assumptions!$H19*IF(LEFT($B23,9)="Baltic C5",T$4,T$5)</f>
        <v>25.245000000000001</v>
      </c>
      <c r="U23" s="37">
        <f>Assumptions!$H19*IF(LEFT($B23,9)="Baltic C5",U$4,U$5)</f>
        <v>22.968</v>
      </c>
      <c r="V23" s="37">
        <f>Assumptions!$H19*IF(LEFT($B23,9)="Baltic C5",V$4,V$5)</f>
        <v>21.582000000000001</v>
      </c>
      <c r="W23" s="37">
        <f>Assumptions!$H19*IF(LEFT($B23,9)="Baltic C5",W$4,W$5)</f>
        <v>21.977999999999998</v>
      </c>
      <c r="X23" s="37">
        <f>Assumptions!$H19*IF(LEFT($B23,9)="Baltic C5",X$4,X$5)</f>
        <v>22.472999999999999</v>
      </c>
      <c r="Y23" s="37">
        <f>Assumptions!$H19*IF(LEFT($B23,9)="Baltic C5",Y$4,Y$5)</f>
        <v>22.869</v>
      </c>
      <c r="Z23" s="37">
        <f>Assumptions!$H19*IF(LEFT($B23,9)="Baltic C5",Z$4,Z$5)</f>
        <v>23.364000000000001</v>
      </c>
      <c r="AA23" s="37">
        <f>Assumptions!$H19*IF(LEFT($B23,9)="Baltic C5",AA$4,AA$5)</f>
        <v>23.859000000000002</v>
      </c>
      <c r="AB23" s="37">
        <f>Assumptions!$H19*IF(LEFT($B23,9)="Baltic C5",AB$4,AB$5)</f>
        <v>24.354000000000003</v>
      </c>
    </row>
    <row r="24" spans="1:28" x14ac:dyDescent="0.2">
      <c r="A24" s="7" t="s">
        <v>105</v>
      </c>
      <c r="B24" s="7" t="s">
        <v>57</v>
      </c>
      <c r="C24" s="37">
        <f>Assumptions!$H20*IF(LEFT($B24,9)="Baltic C5",C$4,C$5)</f>
        <v>26.2</v>
      </c>
      <c r="D24" s="37">
        <f>Assumptions!$H20*IF(LEFT($B24,9)="Baltic C5",D$4,D$5)</f>
        <v>22.5</v>
      </c>
      <c r="E24" s="37">
        <f>Assumptions!$H20*IF(LEFT($B24,9)="Baltic C5",E$4,E$5)</f>
        <v>19.7</v>
      </c>
      <c r="F24" s="37">
        <f>Assumptions!$H20*IF(LEFT($B24,9)="Baltic C5",F$4,F$5)</f>
        <v>21.1</v>
      </c>
      <c r="G24" s="37">
        <f>Assumptions!$H20*IF(LEFT($B24,9)="Baltic C5",G$4,G$5)</f>
        <v>20.6</v>
      </c>
      <c r="H24" s="37">
        <f>Assumptions!$H20*IF(LEFT($B24,9)="Baltic C5",H$4,H$5)</f>
        <v>11.2</v>
      </c>
      <c r="I24" s="37">
        <f>Assumptions!$H20*IF(LEFT($B24,9)="Baltic C5",I$4,I$5)</f>
        <v>9.1</v>
      </c>
      <c r="J24" s="37">
        <f>Assumptions!$H20*IF(LEFT($B24,9)="Baltic C5",J$4,J$5)</f>
        <v>15.2</v>
      </c>
      <c r="K24" s="37">
        <f>Assumptions!$H20*IF(LEFT($B24,9)="Baltic C5",K$4,K$5)</f>
        <v>18.399999999999999</v>
      </c>
      <c r="L24" s="37">
        <f>Assumptions!$H20*IF(LEFT($B24,9)="Baltic C5",L$4,L$5)</f>
        <v>18.600000000000001</v>
      </c>
      <c r="M24" s="37">
        <f>Assumptions!$H20*IF(LEFT($B24,9)="Baltic C5",M$4,M$5)</f>
        <v>14.8</v>
      </c>
      <c r="N24" s="37">
        <f>Assumptions!$H20*IF(LEFT($B24,9)="Baltic C5",N$4,N$5)</f>
        <v>26.7</v>
      </c>
      <c r="O24" s="37">
        <f>Assumptions!$H20*IF(LEFT($B24,9)="Baltic C5",O$4,O$5)</f>
        <v>24</v>
      </c>
      <c r="P24" s="37">
        <f>Assumptions!$H20*IF(LEFT($B24,9)="Baltic C5",P$4,P$5)</f>
        <v>21</v>
      </c>
      <c r="Q24" s="37">
        <f>Assumptions!$H20*IF(LEFT($B24,9)="Baltic C5",Q$4,Q$5)</f>
        <v>25</v>
      </c>
      <c r="R24" s="37">
        <f>Assumptions!$H20*IF(LEFT($B24,9)="Baltic C5",R$4,R$5)</f>
        <v>21.9</v>
      </c>
      <c r="S24" s="37">
        <f>Assumptions!$H20*IF(LEFT($B24,9)="Baltic C5",S$4,S$5)</f>
        <v>31</v>
      </c>
      <c r="T24" s="37">
        <f>Assumptions!$H20*IF(LEFT($B24,9)="Baltic C5",T$4,T$5)</f>
        <v>25.5</v>
      </c>
      <c r="U24" s="37">
        <f>Assumptions!$H20*IF(LEFT($B24,9)="Baltic C5",U$4,U$5)</f>
        <v>23.2</v>
      </c>
      <c r="V24" s="37">
        <f>Assumptions!$H20*IF(LEFT($B24,9)="Baltic C5",V$4,V$5)</f>
        <v>21.8</v>
      </c>
      <c r="W24" s="37">
        <f>Assumptions!$H20*IF(LEFT($B24,9)="Baltic C5",W$4,W$5)</f>
        <v>22.2</v>
      </c>
      <c r="X24" s="37">
        <f>Assumptions!$H20*IF(LEFT($B24,9)="Baltic C5",X$4,X$5)</f>
        <v>22.7</v>
      </c>
      <c r="Y24" s="37">
        <f>Assumptions!$H20*IF(LEFT($B24,9)="Baltic C5",Y$4,Y$5)</f>
        <v>23.1</v>
      </c>
      <c r="Z24" s="37">
        <f>Assumptions!$H20*IF(LEFT($B24,9)="Baltic C5",Z$4,Z$5)</f>
        <v>23.6</v>
      </c>
      <c r="AA24" s="37">
        <f>Assumptions!$H20*IF(LEFT($B24,9)="Baltic C5",AA$4,AA$5)</f>
        <v>24.1</v>
      </c>
      <c r="AB24" s="37">
        <f>Assumptions!$H20*IF(LEFT($B24,9)="Baltic C5",AB$4,AB$5)</f>
        <v>24.6</v>
      </c>
    </row>
    <row r="25" spans="1:28" x14ac:dyDescent="0.2">
      <c r="A25" s="7" t="s">
        <v>107</v>
      </c>
      <c r="B25" s="7" t="s">
        <v>340</v>
      </c>
      <c r="C25" s="37">
        <f>Assumptions!$H21*IF(LEFT($B25,9)="Baltic C5",C$4,C$5)</f>
        <v>27.51</v>
      </c>
      <c r="D25" s="37">
        <f>Assumptions!$H21*IF(LEFT($B25,9)="Baltic C5",D$4,D$5)</f>
        <v>23.625</v>
      </c>
      <c r="E25" s="37">
        <f>Assumptions!$H21*IF(LEFT($B25,9)="Baltic C5",E$4,E$5)</f>
        <v>20.684999999999999</v>
      </c>
      <c r="F25" s="37">
        <f>Assumptions!$H21*IF(LEFT($B25,9)="Baltic C5",F$4,F$5)</f>
        <v>22.155000000000001</v>
      </c>
      <c r="G25" s="37">
        <f>Assumptions!$H21*IF(LEFT($B25,9)="Baltic C5",G$4,G$5)</f>
        <v>21.630000000000003</v>
      </c>
      <c r="H25" s="37">
        <f>Assumptions!$H21*IF(LEFT($B25,9)="Baltic C5",H$4,H$5)</f>
        <v>11.76</v>
      </c>
      <c r="I25" s="37">
        <f>Assumptions!$H21*IF(LEFT($B25,9)="Baltic C5",I$4,I$5)</f>
        <v>9.5549999999999997</v>
      </c>
      <c r="J25" s="37">
        <f>Assumptions!$H21*IF(LEFT($B25,9)="Baltic C5",J$4,J$5)</f>
        <v>15.959999999999999</v>
      </c>
      <c r="K25" s="37">
        <f>Assumptions!$H21*IF(LEFT($B25,9)="Baltic C5",K$4,K$5)</f>
        <v>19.32</v>
      </c>
      <c r="L25" s="37">
        <f>Assumptions!$H21*IF(LEFT($B25,9)="Baltic C5",L$4,L$5)</f>
        <v>19.53</v>
      </c>
      <c r="M25" s="37">
        <f>Assumptions!$H21*IF(LEFT($B25,9)="Baltic C5",M$4,M$5)</f>
        <v>15.540000000000001</v>
      </c>
      <c r="N25" s="37">
        <f>Assumptions!$H21*IF(LEFT($B25,9)="Baltic C5",N$4,N$5)</f>
        <v>28.035</v>
      </c>
      <c r="O25" s="37">
        <f>Assumptions!$H21*IF(LEFT($B25,9)="Baltic C5",O$4,O$5)</f>
        <v>25.200000000000003</v>
      </c>
      <c r="P25" s="37">
        <f>Assumptions!$H21*IF(LEFT($B25,9)="Baltic C5",P$4,P$5)</f>
        <v>22.05</v>
      </c>
      <c r="Q25" s="37">
        <f>Assumptions!$H21*IF(LEFT($B25,9)="Baltic C5",Q$4,Q$5)</f>
        <v>26.25</v>
      </c>
      <c r="R25" s="37">
        <f>Assumptions!$H21*IF(LEFT($B25,9)="Baltic C5",R$4,R$5)</f>
        <v>22.995000000000001</v>
      </c>
      <c r="S25" s="37">
        <f>Assumptions!$H21*IF(LEFT($B25,9)="Baltic C5",S$4,S$5)</f>
        <v>32.550000000000004</v>
      </c>
      <c r="T25" s="37">
        <f>Assumptions!$H21*IF(LEFT($B25,9)="Baltic C5",T$4,T$5)</f>
        <v>26.775000000000002</v>
      </c>
      <c r="U25" s="37">
        <f>Assumptions!$H21*IF(LEFT($B25,9)="Baltic C5",U$4,U$5)</f>
        <v>24.36</v>
      </c>
      <c r="V25" s="37">
        <f>Assumptions!$H21*IF(LEFT($B25,9)="Baltic C5",V$4,V$5)</f>
        <v>22.89</v>
      </c>
      <c r="W25" s="37">
        <f>Assumptions!$H21*IF(LEFT($B25,9)="Baltic C5",W$4,W$5)</f>
        <v>23.31</v>
      </c>
      <c r="X25" s="37">
        <f>Assumptions!$H21*IF(LEFT($B25,9)="Baltic C5",X$4,X$5)</f>
        <v>23.835000000000001</v>
      </c>
      <c r="Y25" s="37">
        <f>Assumptions!$H21*IF(LEFT($B25,9)="Baltic C5",Y$4,Y$5)</f>
        <v>24.255000000000003</v>
      </c>
      <c r="Z25" s="37">
        <f>Assumptions!$H21*IF(LEFT($B25,9)="Baltic C5",Z$4,Z$5)</f>
        <v>24.78</v>
      </c>
      <c r="AA25" s="37">
        <f>Assumptions!$H21*IF(LEFT($B25,9)="Baltic C5",AA$4,AA$5)</f>
        <v>25.305000000000003</v>
      </c>
      <c r="AB25" s="37">
        <f>Assumptions!$H21*IF(LEFT($B25,9)="Baltic C5",AB$4,AB$5)</f>
        <v>25.830000000000002</v>
      </c>
    </row>
    <row r="26" spans="1:28" x14ac:dyDescent="0.2">
      <c r="A26" s="7" t="s">
        <v>110</v>
      </c>
      <c r="B26" s="7" t="s">
        <v>341</v>
      </c>
      <c r="C26" s="37">
        <f>Assumptions!$H22*IF(LEFT($B26,9)="Baltic C5",C$4,C$5)</f>
        <v>27.772000000000002</v>
      </c>
      <c r="D26" s="37">
        <f>Assumptions!$H22*IF(LEFT($B26,9)="Baltic C5",D$4,D$5)</f>
        <v>23.85</v>
      </c>
      <c r="E26" s="37">
        <f>Assumptions!$H22*IF(LEFT($B26,9)="Baltic C5",E$4,E$5)</f>
        <v>20.882000000000001</v>
      </c>
      <c r="F26" s="37">
        <f>Assumptions!$H22*IF(LEFT($B26,9)="Baltic C5",F$4,F$5)</f>
        <v>22.366000000000003</v>
      </c>
      <c r="G26" s="37">
        <f>Assumptions!$H22*IF(LEFT($B26,9)="Baltic C5",G$4,G$5)</f>
        <v>21.836000000000002</v>
      </c>
      <c r="H26" s="37">
        <f>Assumptions!$H22*IF(LEFT($B26,9)="Baltic C5",H$4,H$5)</f>
        <v>11.872</v>
      </c>
      <c r="I26" s="37">
        <f>Assumptions!$H22*IF(LEFT($B26,9)="Baltic C5",I$4,I$5)</f>
        <v>9.6460000000000008</v>
      </c>
      <c r="J26" s="37">
        <f>Assumptions!$H22*IF(LEFT($B26,9)="Baltic C5",J$4,J$5)</f>
        <v>16.111999999999998</v>
      </c>
      <c r="K26" s="37">
        <f>Assumptions!$H22*IF(LEFT($B26,9)="Baltic C5",K$4,K$5)</f>
        <v>19.503999999999998</v>
      </c>
      <c r="L26" s="37">
        <f>Assumptions!$H22*IF(LEFT($B26,9)="Baltic C5",L$4,L$5)</f>
        <v>19.716000000000001</v>
      </c>
      <c r="M26" s="37">
        <f>Assumptions!$H22*IF(LEFT($B26,9)="Baltic C5",M$4,M$5)</f>
        <v>15.688000000000002</v>
      </c>
      <c r="N26" s="37">
        <f>Assumptions!$H22*IF(LEFT($B26,9)="Baltic C5",N$4,N$5)</f>
        <v>28.302</v>
      </c>
      <c r="O26" s="37">
        <f>Assumptions!$H22*IF(LEFT($B26,9)="Baltic C5",O$4,O$5)</f>
        <v>25.44</v>
      </c>
      <c r="P26" s="37">
        <f>Assumptions!$H22*IF(LEFT($B26,9)="Baltic C5",P$4,P$5)</f>
        <v>22.26</v>
      </c>
      <c r="Q26" s="37">
        <f>Assumptions!$H22*IF(LEFT($B26,9)="Baltic C5",Q$4,Q$5)</f>
        <v>26.5</v>
      </c>
      <c r="R26" s="37">
        <f>Assumptions!$H22*IF(LEFT($B26,9)="Baltic C5",R$4,R$5)</f>
        <v>23.213999999999999</v>
      </c>
      <c r="S26" s="37">
        <f>Assumptions!$H22*IF(LEFT($B26,9)="Baltic C5",S$4,S$5)</f>
        <v>32.86</v>
      </c>
      <c r="T26" s="37">
        <f>Assumptions!$H22*IF(LEFT($B26,9)="Baltic C5",T$4,T$5)</f>
        <v>27.03</v>
      </c>
      <c r="U26" s="37">
        <f>Assumptions!$H22*IF(LEFT($B26,9)="Baltic C5",U$4,U$5)</f>
        <v>24.591999999999999</v>
      </c>
      <c r="V26" s="37">
        <f>Assumptions!$H22*IF(LEFT($B26,9)="Baltic C5",V$4,V$5)</f>
        <v>23.108000000000001</v>
      </c>
      <c r="W26" s="37">
        <f>Assumptions!$H22*IF(LEFT($B26,9)="Baltic C5",W$4,W$5)</f>
        <v>23.532</v>
      </c>
      <c r="X26" s="37">
        <f>Assumptions!$H22*IF(LEFT($B26,9)="Baltic C5",X$4,X$5)</f>
        <v>24.062000000000001</v>
      </c>
      <c r="Y26" s="37">
        <f>Assumptions!$H22*IF(LEFT($B26,9)="Baltic C5",Y$4,Y$5)</f>
        <v>24.486000000000004</v>
      </c>
      <c r="Z26" s="37">
        <f>Assumptions!$H22*IF(LEFT($B26,9)="Baltic C5",Z$4,Z$5)</f>
        <v>25.016000000000002</v>
      </c>
      <c r="AA26" s="37">
        <f>Assumptions!$H22*IF(LEFT($B26,9)="Baltic C5",AA$4,AA$5)</f>
        <v>25.546000000000003</v>
      </c>
      <c r="AB26" s="37">
        <f>Assumptions!$H22*IF(LEFT($B26,9)="Baltic C5",AB$4,AB$5)</f>
        <v>26.076000000000004</v>
      </c>
    </row>
    <row r="27" spans="1:28" x14ac:dyDescent="0.2">
      <c r="A27" s="7" t="s">
        <v>115</v>
      </c>
      <c r="B27" s="7" t="s">
        <v>346</v>
      </c>
      <c r="C27" s="37">
        <f>Assumptions!$H23*IF(LEFT($B27,9)="Baltic C5",C$4,C$5)</f>
        <v>21.745999999999999</v>
      </c>
      <c r="D27" s="37">
        <f>Assumptions!$H23*IF(LEFT($B27,9)="Baltic C5",D$4,D$5)</f>
        <v>18.675000000000001</v>
      </c>
      <c r="E27" s="37">
        <f>Assumptions!$H23*IF(LEFT($B27,9)="Baltic C5",E$4,E$5)</f>
        <v>16.350999999999999</v>
      </c>
      <c r="F27" s="37">
        <f>Assumptions!$H23*IF(LEFT($B27,9)="Baltic C5",F$4,F$5)</f>
        <v>17.513000000000002</v>
      </c>
      <c r="G27" s="37">
        <f>Assumptions!$H23*IF(LEFT($B27,9)="Baltic C5",G$4,G$5)</f>
        <v>17.097999999999999</v>
      </c>
      <c r="H27" s="37">
        <f>Assumptions!$H23*IF(LEFT($B27,9)="Baltic C5",H$4,H$5)</f>
        <v>9.2959999999999994</v>
      </c>
      <c r="I27" s="37">
        <f>Assumptions!$H23*IF(LEFT($B27,9)="Baltic C5",I$4,I$5)</f>
        <v>7.552999999999999</v>
      </c>
      <c r="J27" s="37">
        <f>Assumptions!$H23*IF(LEFT($B27,9)="Baltic C5",J$4,J$5)</f>
        <v>12.616</v>
      </c>
      <c r="K27" s="37">
        <f>Assumptions!$H23*IF(LEFT($B27,9)="Baltic C5",K$4,K$5)</f>
        <v>15.271999999999998</v>
      </c>
      <c r="L27" s="37">
        <f>Assumptions!$H23*IF(LEFT($B27,9)="Baltic C5",L$4,L$5)</f>
        <v>15.438000000000001</v>
      </c>
      <c r="M27" s="37">
        <f>Assumptions!$H23*IF(LEFT($B27,9)="Baltic C5",M$4,M$5)</f>
        <v>12.284000000000001</v>
      </c>
      <c r="N27" s="37">
        <f>Assumptions!$H23*IF(LEFT($B27,9)="Baltic C5",N$4,N$5)</f>
        <v>22.160999999999998</v>
      </c>
      <c r="O27" s="37">
        <f>Assumptions!$H23*IF(LEFT($B27,9)="Baltic C5",O$4,O$5)</f>
        <v>19.919999999999998</v>
      </c>
      <c r="P27" s="37">
        <f>Assumptions!$H23*IF(LEFT($B27,9)="Baltic C5",P$4,P$5)</f>
        <v>17.43</v>
      </c>
      <c r="Q27" s="37">
        <f>Assumptions!$H23*IF(LEFT($B27,9)="Baltic C5",Q$4,Q$5)</f>
        <v>20.75</v>
      </c>
      <c r="R27" s="37">
        <f>Assumptions!$H23*IF(LEFT($B27,9)="Baltic C5",R$4,R$5)</f>
        <v>18.177</v>
      </c>
      <c r="S27" s="37">
        <f>Assumptions!$H23*IF(LEFT($B27,9)="Baltic C5",S$4,S$5)</f>
        <v>25.73</v>
      </c>
      <c r="T27" s="37">
        <f>Assumptions!$H23*IF(LEFT($B27,9)="Baltic C5",T$4,T$5)</f>
        <v>21.164999999999999</v>
      </c>
      <c r="U27" s="37">
        <f>Assumptions!$H23*IF(LEFT($B27,9)="Baltic C5",U$4,U$5)</f>
        <v>19.256</v>
      </c>
      <c r="V27" s="37">
        <f>Assumptions!$H23*IF(LEFT($B27,9)="Baltic C5",V$4,V$5)</f>
        <v>18.094000000000001</v>
      </c>
      <c r="W27" s="37">
        <f>Assumptions!$H23*IF(LEFT($B27,9)="Baltic C5",W$4,W$5)</f>
        <v>18.425999999999998</v>
      </c>
      <c r="X27" s="37">
        <f>Assumptions!$H23*IF(LEFT($B27,9)="Baltic C5",X$4,X$5)</f>
        <v>18.840999999999998</v>
      </c>
      <c r="Y27" s="37">
        <f>Assumptions!$H23*IF(LEFT($B27,9)="Baltic C5",Y$4,Y$5)</f>
        <v>19.173000000000002</v>
      </c>
      <c r="Z27" s="37">
        <f>Assumptions!$H23*IF(LEFT($B27,9)="Baltic C5",Z$4,Z$5)</f>
        <v>19.588000000000001</v>
      </c>
      <c r="AA27" s="37">
        <f>Assumptions!$H23*IF(LEFT($B27,9)="Baltic C5",AA$4,AA$5)</f>
        <v>20.003</v>
      </c>
      <c r="AB27" s="37">
        <f>Assumptions!$H23*IF(LEFT($B27,9)="Baltic C5",AB$4,AB$5)</f>
        <v>20.417999999999999</v>
      </c>
    </row>
    <row r="28" spans="1:28" x14ac:dyDescent="0.2">
      <c r="A28" s="7" t="s">
        <v>153</v>
      </c>
      <c r="B28" s="7" t="s">
        <v>347</v>
      </c>
      <c r="C28" s="37">
        <f>Assumptions!$H24*IF(LEFT($B28,9)="Baltic C5",C$4,C$5)</f>
        <v>20.436</v>
      </c>
      <c r="D28" s="37">
        <f>Assumptions!$H24*IF(LEFT($B28,9)="Baltic C5",D$4,D$5)</f>
        <v>17.55</v>
      </c>
      <c r="E28" s="37">
        <f>Assumptions!$H24*IF(LEFT($B28,9)="Baltic C5",E$4,E$5)</f>
        <v>15.366</v>
      </c>
      <c r="F28" s="37">
        <f>Assumptions!$H24*IF(LEFT($B28,9)="Baltic C5",F$4,F$5)</f>
        <v>16.458000000000002</v>
      </c>
      <c r="G28" s="37">
        <f>Assumptions!$H24*IF(LEFT($B28,9)="Baltic C5",G$4,G$5)</f>
        <v>16.068000000000001</v>
      </c>
      <c r="H28" s="37">
        <f>Assumptions!$H24*IF(LEFT($B28,9)="Baltic C5",H$4,H$5)</f>
        <v>8.7359999999999989</v>
      </c>
      <c r="I28" s="37">
        <f>Assumptions!$H24*IF(LEFT($B28,9)="Baltic C5",I$4,I$5)</f>
        <v>7.0979999999999999</v>
      </c>
      <c r="J28" s="37">
        <f>Assumptions!$H24*IF(LEFT($B28,9)="Baltic C5",J$4,J$5)</f>
        <v>11.856</v>
      </c>
      <c r="K28" s="37">
        <f>Assumptions!$H24*IF(LEFT($B28,9)="Baltic C5",K$4,K$5)</f>
        <v>14.351999999999999</v>
      </c>
      <c r="L28" s="37">
        <f>Assumptions!$H24*IF(LEFT($B28,9)="Baltic C5",L$4,L$5)</f>
        <v>14.508000000000001</v>
      </c>
      <c r="M28" s="37">
        <f>Assumptions!$H24*IF(LEFT($B28,9)="Baltic C5",M$4,M$5)</f>
        <v>11.544</v>
      </c>
      <c r="N28" s="37">
        <f>Assumptions!$H24*IF(LEFT($B28,9)="Baltic C5",N$4,N$5)</f>
        <v>20.826000000000001</v>
      </c>
      <c r="O28" s="37">
        <f>Assumptions!$H24*IF(LEFT($B28,9)="Baltic C5",O$4,O$5)</f>
        <v>18.72</v>
      </c>
      <c r="P28" s="37">
        <f>Assumptions!$H24*IF(LEFT($B28,9)="Baltic C5",P$4,P$5)</f>
        <v>16.38</v>
      </c>
      <c r="Q28" s="37">
        <f>Assumptions!$H24*IF(LEFT($B28,9)="Baltic C5",Q$4,Q$5)</f>
        <v>19.5</v>
      </c>
      <c r="R28" s="37">
        <f>Assumptions!$H24*IF(LEFT($B28,9)="Baltic C5",R$4,R$5)</f>
        <v>17.082000000000001</v>
      </c>
      <c r="S28" s="37">
        <f>Assumptions!$H24*IF(LEFT($B28,9)="Baltic C5",S$4,S$5)</f>
        <v>24.18</v>
      </c>
      <c r="T28" s="37">
        <f>Assumptions!$H24*IF(LEFT($B28,9)="Baltic C5",T$4,T$5)</f>
        <v>19.89</v>
      </c>
      <c r="U28" s="37">
        <f>Assumptions!$H24*IF(LEFT($B28,9)="Baltic C5",U$4,U$5)</f>
        <v>18.096</v>
      </c>
      <c r="V28" s="37">
        <f>Assumptions!$H24*IF(LEFT($B28,9)="Baltic C5",V$4,V$5)</f>
        <v>17.004000000000001</v>
      </c>
      <c r="W28" s="37">
        <f>Assumptions!$H24*IF(LEFT($B28,9)="Baltic C5",W$4,W$5)</f>
        <v>17.315999999999999</v>
      </c>
      <c r="X28" s="37">
        <f>Assumptions!$H24*IF(LEFT($B28,9)="Baltic C5",X$4,X$5)</f>
        <v>17.706</v>
      </c>
      <c r="Y28" s="37">
        <f>Assumptions!$H24*IF(LEFT($B28,9)="Baltic C5",Y$4,Y$5)</f>
        <v>18.018000000000001</v>
      </c>
      <c r="Z28" s="37">
        <f>Assumptions!$H24*IF(LEFT($B28,9)="Baltic C5",Z$4,Z$5)</f>
        <v>18.408000000000001</v>
      </c>
      <c r="AA28" s="37">
        <f>Assumptions!$H24*IF(LEFT($B28,9)="Baltic C5",AA$4,AA$5)</f>
        <v>18.798000000000002</v>
      </c>
      <c r="AB28" s="37">
        <f>Assumptions!$H24*IF(LEFT($B28,9)="Baltic C5",AB$4,AB$5)</f>
        <v>19.188000000000002</v>
      </c>
    </row>
    <row r="29" spans="1:28" x14ac:dyDescent="0.2">
      <c r="A29" s="7" t="s">
        <v>154</v>
      </c>
      <c r="B29" s="7" t="s">
        <v>347</v>
      </c>
      <c r="C29" s="37">
        <f>Assumptions!$H25*IF(LEFT($B29,9)="Baltic C5",C$4,C$5)</f>
        <v>20.436</v>
      </c>
      <c r="D29" s="37">
        <f>Assumptions!$H25*IF(LEFT($B29,9)="Baltic C5",D$4,D$5)</f>
        <v>17.55</v>
      </c>
      <c r="E29" s="37">
        <f>Assumptions!$H25*IF(LEFT($B29,9)="Baltic C5",E$4,E$5)</f>
        <v>15.366</v>
      </c>
      <c r="F29" s="37">
        <f>Assumptions!$H25*IF(LEFT($B29,9)="Baltic C5",F$4,F$5)</f>
        <v>16.458000000000002</v>
      </c>
      <c r="G29" s="37">
        <f>Assumptions!$H25*IF(LEFT($B29,9)="Baltic C5",G$4,G$5)</f>
        <v>16.068000000000001</v>
      </c>
      <c r="H29" s="37">
        <f>Assumptions!$H25*IF(LEFT($B29,9)="Baltic C5",H$4,H$5)</f>
        <v>8.7359999999999989</v>
      </c>
      <c r="I29" s="37">
        <f>Assumptions!$H25*IF(LEFT($B29,9)="Baltic C5",I$4,I$5)</f>
        <v>7.0979999999999999</v>
      </c>
      <c r="J29" s="37">
        <f>Assumptions!$H25*IF(LEFT($B29,9)="Baltic C5",J$4,J$5)</f>
        <v>11.856</v>
      </c>
      <c r="K29" s="37">
        <f>Assumptions!$H25*IF(LEFT($B29,9)="Baltic C5",K$4,K$5)</f>
        <v>14.351999999999999</v>
      </c>
      <c r="L29" s="37">
        <f>Assumptions!$H25*IF(LEFT($B29,9)="Baltic C5",L$4,L$5)</f>
        <v>14.508000000000001</v>
      </c>
      <c r="M29" s="37">
        <f>Assumptions!$H25*IF(LEFT($B29,9)="Baltic C5",M$4,M$5)</f>
        <v>11.544</v>
      </c>
      <c r="N29" s="37">
        <f>Assumptions!$H25*IF(LEFT($B29,9)="Baltic C5",N$4,N$5)</f>
        <v>20.826000000000001</v>
      </c>
      <c r="O29" s="37">
        <f>Assumptions!$H25*IF(LEFT($B29,9)="Baltic C5",O$4,O$5)</f>
        <v>18.72</v>
      </c>
      <c r="P29" s="37">
        <f>Assumptions!$H25*IF(LEFT($B29,9)="Baltic C5",P$4,P$5)</f>
        <v>16.38</v>
      </c>
      <c r="Q29" s="37">
        <f>Assumptions!$H25*IF(LEFT($B29,9)="Baltic C5",Q$4,Q$5)</f>
        <v>19.5</v>
      </c>
      <c r="R29" s="37">
        <f>Assumptions!$H25*IF(LEFT($B29,9)="Baltic C5",R$4,R$5)</f>
        <v>17.082000000000001</v>
      </c>
      <c r="S29" s="37">
        <f>Assumptions!$H25*IF(LEFT($B29,9)="Baltic C5",S$4,S$5)</f>
        <v>24.18</v>
      </c>
      <c r="T29" s="37">
        <f>Assumptions!$H25*IF(LEFT($B29,9)="Baltic C5",T$4,T$5)</f>
        <v>19.89</v>
      </c>
      <c r="U29" s="37">
        <f>Assumptions!$H25*IF(LEFT($B29,9)="Baltic C5",U$4,U$5)</f>
        <v>18.096</v>
      </c>
      <c r="V29" s="37">
        <f>Assumptions!$H25*IF(LEFT($B29,9)="Baltic C5",V$4,V$5)</f>
        <v>17.004000000000001</v>
      </c>
      <c r="W29" s="37">
        <f>Assumptions!$H25*IF(LEFT($B29,9)="Baltic C5",W$4,W$5)</f>
        <v>17.315999999999999</v>
      </c>
      <c r="X29" s="37">
        <f>Assumptions!$H25*IF(LEFT($B29,9)="Baltic C5",X$4,X$5)</f>
        <v>17.706</v>
      </c>
      <c r="Y29" s="37">
        <f>Assumptions!$H25*IF(LEFT($B29,9)="Baltic C5",Y$4,Y$5)</f>
        <v>18.018000000000001</v>
      </c>
      <c r="Z29" s="37">
        <f>Assumptions!$H25*IF(LEFT($B29,9)="Baltic C5",Z$4,Z$5)</f>
        <v>18.408000000000001</v>
      </c>
      <c r="AA29" s="37">
        <f>Assumptions!$H25*IF(LEFT($B29,9)="Baltic C5",AA$4,AA$5)</f>
        <v>18.798000000000002</v>
      </c>
      <c r="AB29" s="37">
        <f>Assumptions!$H25*IF(LEFT($B29,9)="Baltic C5",AB$4,AB$5)</f>
        <v>19.188000000000002</v>
      </c>
    </row>
    <row r="30" spans="1:28" x14ac:dyDescent="0.2">
      <c r="A30" s="7" t="s">
        <v>169</v>
      </c>
      <c r="B30" s="7" t="s">
        <v>348</v>
      </c>
      <c r="C30" s="37">
        <f>Assumptions!$H26*IF(LEFT($B30,9)="Baltic C5",C$4,C$5)</f>
        <v>12.584</v>
      </c>
      <c r="D30" s="37">
        <f>Assumptions!$H26*IF(LEFT($B30,9)="Baltic C5",D$4,D$5)</f>
        <v>11.010999999999999</v>
      </c>
      <c r="E30" s="37">
        <f>Assumptions!$H26*IF(LEFT($B30,9)="Baltic C5",E$4,E$5)</f>
        <v>9.4379999999999988</v>
      </c>
      <c r="F30" s="37">
        <f>Assumptions!$H26*IF(LEFT($B30,9)="Baltic C5",F$4,F$5)</f>
        <v>10.648</v>
      </c>
      <c r="G30" s="37">
        <f>Assumptions!$H26*IF(LEFT($B30,9)="Baltic C5",G$4,G$5)</f>
        <v>9.8010000000000002</v>
      </c>
      <c r="H30" s="37">
        <f>Assumptions!$H26*IF(LEFT($B30,9)="Baltic C5",H$4,H$5)</f>
        <v>5.9290000000000003</v>
      </c>
      <c r="I30" s="37">
        <f>Assumptions!$H26*IF(LEFT($B30,9)="Baltic C5",I$4,I$5)</f>
        <v>5.4450000000000003</v>
      </c>
      <c r="J30" s="37">
        <f>Assumptions!$H26*IF(LEFT($B30,9)="Baltic C5",J$4,J$5)</f>
        <v>8.2279999999999998</v>
      </c>
      <c r="K30" s="37">
        <f>Assumptions!$H26*IF(LEFT($B30,9)="Baltic C5",K$4,K$5)</f>
        <v>9.1959999999999997</v>
      </c>
      <c r="L30" s="37">
        <f>Assumptions!$H26*IF(LEFT($B30,9)="Baltic C5",L$4,L$5)</f>
        <v>9.3170000000000002</v>
      </c>
      <c r="M30" s="37">
        <f>Assumptions!$H26*IF(LEFT($B30,9)="Baltic C5",M$4,M$5)</f>
        <v>8.1069999999999993</v>
      </c>
      <c r="N30" s="37">
        <f>Assumptions!$H26*IF(LEFT($B30,9)="Baltic C5",N$4,N$5)</f>
        <v>14.641</v>
      </c>
      <c r="O30" s="37">
        <f>Assumptions!$H26*IF(LEFT($B30,9)="Baltic C5",O$4,O$5)</f>
        <v>11.978999999999999</v>
      </c>
      <c r="P30" s="37">
        <f>Assumptions!$H26*IF(LEFT($B30,9)="Baltic C5",P$4,P$5)</f>
        <v>10.526999999999999</v>
      </c>
      <c r="Q30" s="37">
        <f>Assumptions!$H26*IF(LEFT($B30,9)="Baltic C5",Q$4,Q$5)</f>
        <v>12.221</v>
      </c>
      <c r="R30" s="37">
        <f>Assumptions!$H26*IF(LEFT($B30,9)="Baltic C5",R$4,R$5)</f>
        <v>11.010999999999999</v>
      </c>
      <c r="S30" s="37">
        <f>Assumptions!$H26*IF(LEFT($B30,9)="Baltic C5",S$4,S$5)</f>
        <v>15.125</v>
      </c>
      <c r="T30" s="37">
        <f>Assumptions!$H26*IF(LEFT($B30,9)="Baltic C5",T$4,T$5)</f>
        <v>13.068</v>
      </c>
      <c r="U30" s="37">
        <f>Assumptions!$H26*IF(LEFT($B30,9)="Baltic C5",U$4,U$5)</f>
        <v>12.341999999999999</v>
      </c>
      <c r="V30" s="37">
        <f>Assumptions!$H26*IF(LEFT($B30,9)="Baltic C5",V$4,V$5)</f>
        <v>11.858000000000001</v>
      </c>
      <c r="W30" s="37">
        <f>Assumptions!$H26*IF(LEFT($B30,9)="Baltic C5",W$4,W$5)</f>
        <v>12.1</v>
      </c>
      <c r="X30" s="37">
        <f>Assumptions!$H26*IF(LEFT($B30,9)="Baltic C5",X$4,X$5)</f>
        <v>12.341999999999999</v>
      </c>
      <c r="Y30" s="37">
        <f>Assumptions!$H26*IF(LEFT($B30,9)="Baltic C5",Y$4,Y$5)</f>
        <v>12.584</v>
      </c>
      <c r="Z30" s="37">
        <f>Assumptions!$H26*IF(LEFT($B30,9)="Baltic C5",Z$4,Z$5)</f>
        <v>12.825999999999999</v>
      </c>
      <c r="AA30" s="37">
        <f>Assumptions!$H26*IF(LEFT($B30,9)="Baltic C5",AA$4,AA$5)</f>
        <v>13.068</v>
      </c>
      <c r="AB30" s="37">
        <f>Assumptions!$H26*IF(LEFT($B30,9)="Baltic C5",AB$4,AB$5)</f>
        <v>13.309999999999999</v>
      </c>
    </row>
    <row r="31" spans="1:28" x14ac:dyDescent="0.2">
      <c r="A31" s="7" t="s">
        <v>156</v>
      </c>
      <c r="B31" s="7" t="s">
        <v>349</v>
      </c>
      <c r="C31" s="37">
        <f>Assumptions!$H27*IF(LEFT($B31,9)="Baltic C5",C$4,C$5)</f>
        <v>11.440000000000001</v>
      </c>
      <c r="D31" s="37">
        <f>Assumptions!$H27*IF(LEFT($B31,9)="Baltic C5",D$4,D$5)</f>
        <v>10.01</v>
      </c>
      <c r="E31" s="37">
        <f>Assumptions!$H27*IF(LEFT($B31,9)="Baltic C5",E$4,E$5)</f>
        <v>8.58</v>
      </c>
      <c r="F31" s="37">
        <f>Assumptions!$H27*IF(LEFT($B31,9)="Baltic C5",F$4,F$5)</f>
        <v>9.6800000000000015</v>
      </c>
      <c r="G31" s="37">
        <f>Assumptions!$H27*IF(LEFT($B31,9)="Baltic C5",G$4,G$5)</f>
        <v>8.91</v>
      </c>
      <c r="H31" s="37">
        <f>Assumptions!$H27*IF(LEFT($B31,9)="Baltic C5",H$4,H$5)</f>
        <v>5.3900000000000006</v>
      </c>
      <c r="I31" s="37">
        <f>Assumptions!$H27*IF(LEFT($B31,9)="Baltic C5",I$4,I$5)</f>
        <v>4.95</v>
      </c>
      <c r="J31" s="37">
        <f>Assumptions!$H27*IF(LEFT($B31,9)="Baltic C5",J$4,J$5)</f>
        <v>7.48</v>
      </c>
      <c r="K31" s="37">
        <f>Assumptions!$H27*IF(LEFT($B31,9)="Baltic C5",K$4,K$5)</f>
        <v>8.36</v>
      </c>
      <c r="L31" s="37">
        <f>Assumptions!$H27*IF(LEFT($B31,9)="Baltic C5",L$4,L$5)</f>
        <v>8.4700000000000006</v>
      </c>
      <c r="M31" s="37">
        <f>Assumptions!$H27*IF(LEFT($B31,9)="Baltic C5",M$4,M$5)</f>
        <v>7.370000000000001</v>
      </c>
      <c r="N31" s="37">
        <f>Assumptions!$H27*IF(LEFT($B31,9)="Baltic C5",N$4,N$5)</f>
        <v>13.31</v>
      </c>
      <c r="O31" s="37">
        <f>Assumptions!$H27*IF(LEFT($B31,9)="Baltic C5",O$4,O$5)</f>
        <v>10.89</v>
      </c>
      <c r="P31" s="37">
        <f>Assumptions!$H27*IF(LEFT($B31,9)="Baltic C5",P$4,P$5)</f>
        <v>9.57</v>
      </c>
      <c r="Q31" s="37">
        <f>Assumptions!$H27*IF(LEFT($B31,9)="Baltic C5",Q$4,Q$5)</f>
        <v>11.110000000000001</v>
      </c>
      <c r="R31" s="37">
        <f>Assumptions!$H27*IF(LEFT($B31,9)="Baltic C5",R$4,R$5)</f>
        <v>10.01</v>
      </c>
      <c r="S31" s="37">
        <f>Assumptions!$H27*IF(LEFT($B31,9)="Baltic C5",S$4,S$5)</f>
        <v>13.750000000000002</v>
      </c>
      <c r="T31" s="37">
        <f>Assumptions!$H27*IF(LEFT($B31,9)="Baltic C5",T$4,T$5)</f>
        <v>11.880000000000003</v>
      </c>
      <c r="U31" s="37">
        <f>Assumptions!$H27*IF(LEFT($B31,9)="Baltic C5",U$4,U$5)</f>
        <v>11.22</v>
      </c>
      <c r="V31" s="37">
        <f>Assumptions!$H27*IF(LEFT($B31,9)="Baltic C5",V$4,V$5)</f>
        <v>10.780000000000001</v>
      </c>
      <c r="W31" s="37">
        <f>Assumptions!$H27*IF(LEFT($B31,9)="Baltic C5",W$4,W$5)</f>
        <v>11</v>
      </c>
      <c r="X31" s="37">
        <f>Assumptions!$H27*IF(LEFT($B31,9)="Baltic C5",X$4,X$5)</f>
        <v>11.22</v>
      </c>
      <c r="Y31" s="37">
        <f>Assumptions!$H27*IF(LEFT($B31,9)="Baltic C5",Y$4,Y$5)</f>
        <v>11.440000000000001</v>
      </c>
      <c r="Z31" s="37">
        <f>Assumptions!$H27*IF(LEFT($B31,9)="Baltic C5",Z$4,Z$5)</f>
        <v>11.66</v>
      </c>
      <c r="AA31" s="37">
        <f>Assumptions!$H27*IF(LEFT($B31,9)="Baltic C5",AA$4,AA$5)</f>
        <v>11.880000000000003</v>
      </c>
      <c r="AB31" s="37">
        <f>Assumptions!$H27*IF(LEFT($B31,9)="Baltic C5",AB$4,AB$5)</f>
        <v>12.100000000000001</v>
      </c>
    </row>
    <row r="32" spans="1:28" x14ac:dyDescent="0.2">
      <c r="A32" s="7" t="s">
        <v>159</v>
      </c>
      <c r="B32" s="7" t="s">
        <v>58</v>
      </c>
      <c r="C32" s="37">
        <f>Assumptions!$H28*IF(LEFT($B32,9)="Baltic C5",C$4,C$5)</f>
        <v>11.336000000000002</v>
      </c>
      <c r="D32" s="37">
        <f>Assumptions!$H28*IF(LEFT($B32,9)="Baltic C5",D$4,D$5)</f>
        <v>9.9190000000000005</v>
      </c>
      <c r="E32" s="37">
        <f>Assumptions!$H28*IF(LEFT($B32,9)="Baltic C5",E$4,E$5)</f>
        <v>8.5020000000000007</v>
      </c>
      <c r="F32" s="37">
        <f>Assumptions!$H28*IF(LEFT($B32,9)="Baltic C5",F$4,F$5)</f>
        <v>9.5920000000000023</v>
      </c>
      <c r="G32" s="37">
        <f>Assumptions!$H28*IF(LEFT($B32,9)="Baltic C5",G$4,G$5)</f>
        <v>8.8290000000000006</v>
      </c>
      <c r="H32" s="37">
        <f>Assumptions!$H28*IF(LEFT($B32,9)="Baltic C5",H$4,H$5)</f>
        <v>5.3410000000000011</v>
      </c>
      <c r="I32" s="37">
        <f>Assumptions!$H28*IF(LEFT($B32,9)="Baltic C5",I$4,I$5)</f>
        <v>4.9050000000000002</v>
      </c>
      <c r="J32" s="37">
        <f>Assumptions!$H28*IF(LEFT($B32,9)="Baltic C5",J$4,J$5)</f>
        <v>7.4119999999999999</v>
      </c>
      <c r="K32" s="37">
        <f>Assumptions!$H28*IF(LEFT($B32,9)="Baltic C5",K$4,K$5)</f>
        <v>8.2840000000000007</v>
      </c>
      <c r="L32" s="37">
        <f>Assumptions!$H28*IF(LEFT($B32,9)="Baltic C5",L$4,L$5)</f>
        <v>8.3930000000000007</v>
      </c>
      <c r="M32" s="37">
        <f>Assumptions!$H28*IF(LEFT($B32,9)="Baltic C5",M$4,M$5)</f>
        <v>7.3030000000000008</v>
      </c>
      <c r="N32" s="37">
        <f>Assumptions!$H28*IF(LEFT($B32,9)="Baltic C5",N$4,N$5)</f>
        <v>13.189</v>
      </c>
      <c r="O32" s="37">
        <f>Assumptions!$H28*IF(LEFT($B32,9)="Baltic C5",O$4,O$5)</f>
        <v>10.791</v>
      </c>
      <c r="P32" s="37">
        <f>Assumptions!$H28*IF(LEFT($B32,9)="Baltic C5",P$4,P$5)</f>
        <v>9.4830000000000005</v>
      </c>
      <c r="Q32" s="37">
        <f>Assumptions!$H28*IF(LEFT($B32,9)="Baltic C5",Q$4,Q$5)</f>
        <v>11.009</v>
      </c>
      <c r="R32" s="37">
        <f>Assumptions!$H28*IF(LEFT($B32,9)="Baltic C5",R$4,R$5)</f>
        <v>9.9190000000000005</v>
      </c>
      <c r="S32" s="37">
        <f>Assumptions!$H28*IF(LEFT($B32,9)="Baltic C5",S$4,S$5)</f>
        <v>13.625000000000002</v>
      </c>
      <c r="T32" s="37">
        <f>Assumptions!$H28*IF(LEFT($B32,9)="Baltic C5",T$4,T$5)</f>
        <v>11.772000000000002</v>
      </c>
      <c r="U32" s="37">
        <f>Assumptions!$H28*IF(LEFT($B32,9)="Baltic C5",U$4,U$5)</f>
        <v>11.118</v>
      </c>
      <c r="V32" s="37">
        <f>Assumptions!$H28*IF(LEFT($B32,9)="Baltic C5",V$4,V$5)</f>
        <v>10.682000000000002</v>
      </c>
      <c r="W32" s="37">
        <f>Assumptions!$H28*IF(LEFT($B32,9)="Baltic C5",W$4,W$5)</f>
        <v>10.9</v>
      </c>
      <c r="X32" s="37">
        <f>Assumptions!$H28*IF(LEFT($B32,9)="Baltic C5",X$4,X$5)</f>
        <v>11.118</v>
      </c>
      <c r="Y32" s="37">
        <f>Assumptions!$H28*IF(LEFT($B32,9)="Baltic C5",Y$4,Y$5)</f>
        <v>11.336000000000002</v>
      </c>
      <c r="Z32" s="37">
        <f>Assumptions!$H28*IF(LEFT($B32,9)="Baltic C5",Z$4,Z$5)</f>
        <v>11.554</v>
      </c>
      <c r="AA32" s="37">
        <f>Assumptions!$H28*IF(LEFT($B32,9)="Baltic C5",AA$4,AA$5)</f>
        <v>11.772000000000002</v>
      </c>
      <c r="AB32" s="37">
        <f>Assumptions!$H28*IF(LEFT($B32,9)="Baltic C5",AB$4,AB$5)</f>
        <v>11.99</v>
      </c>
    </row>
    <row r="33" spans="1:28" x14ac:dyDescent="0.2">
      <c r="A33" s="7" t="s">
        <v>285</v>
      </c>
      <c r="B33" s="7" t="s">
        <v>350</v>
      </c>
      <c r="C33" s="37">
        <f>Assumptions!$H29*IF(LEFT($B33,9)="Baltic C5",C$4,C$5)</f>
        <v>16.848000000000003</v>
      </c>
      <c r="D33" s="37">
        <f>Assumptions!$H29*IF(LEFT($B33,9)="Baltic C5",D$4,D$5)</f>
        <v>14.742000000000001</v>
      </c>
      <c r="E33" s="37">
        <f>Assumptions!$H29*IF(LEFT($B33,9)="Baltic C5",E$4,E$5)</f>
        <v>12.636000000000001</v>
      </c>
      <c r="F33" s="37">
        <f>Assumptions!$H29*IF(LEFT($B33,9)="Baltic C5",F$4,F$5)</f>
        <v>14.256000000000002</v>
      </c>
      <c r="G33" s="37">
        <f>Assumptions!$H29*IF(LEFT($B33,9)="Baltic C5",G$4,G$5)</f>
        <v>13.122</v>
      </c>
      <c r="H33" s="37">
        <f>Assumptions!$H29*IF(LEFT($B33,9)="Baltic C5",H$4,H$5)</f>
        <v>7.9380000000000015</v>
      </c>
      <c r="I33" s="37">
        <f>Assumptions!$H29*IF(LEFT($B33,9)="Baltic C5",I$4,I$5)</f>
        <v>7.2900000000000009</v>
      </c>
      <c r="J33" s="37">
        <f>Assumptions!$H29*IF(LEFT($B33,9)="Baltic C5",J$4,J$5)</f>
        <v>11.016</v>
      </c>
      <c r="K33" s="37">
        <f>Assumptions!$H29*IF(LEFT($B33,9)="Baltic C5",K$4,K$5)</f>
        <v>12.311999999999999</v>
      </c>
      <c r="L33" s="37">
        <f>Assumptions!$H29*IF(LEFT($B33,9)="Baltic C5",L$4,L$5)</f>
        <v>12.474000000000002</v>
      </c>
      <c r="M33" s="37">
        <f>Assumptions!$H29*IF(LEFT($B33,9)="Baltic C5",M$4,M$5)</f>
        <v>10.854000000000001</v>
      </c>
      <c r="N33" s="37">
        <f>Assumptions!$H29*IF(LEFT($B33,9)="Baltic C5",N$4,N$5)</f>
        <v>19.602</v>
      </c>
      <c r="O33" s="37">
        <f>Assumptions!$H29*IF(LEFT($B33,9)="Baltic C5",O$4,O$5)</f>
        <v>16.038</v>
      </c>
      <c r="P33" s="37">
        <f>Assumptions!$H29*IF(LEFT($B33,9)="Baltic C5",P$4,P$5)</f>
        <v>14.093999999999999</v>
      </c>
      <c r="Q33" s="37">
        <f>Assumptions!$H29*IF(LEFT($B33,9)="Baltic C5",Q$4,Q$5)</f>
        <v>16.362000000000002</v>
      </c>
      <c r="R33" s="37">
        <f>Assumptions!$H29*IF(LEFT($B33,9)="Baltic C5",R$4,R$5)</f>
        <v>14.742000000000001</v>
      </c>
      <c r="S33" s="37">
        <f>Assumptions!$H29*IF(LEFT($B33,9)="Baltic C5",S$4,S$5)</f>
        <v>20.25</v>
      </c>
      <c r="T33" s="37">
        <f>Assumptions!$H29*IF(LEFT($B33,9)="Baltic C5",T$4,T$5)</f>
        <v>17.496000000000002</v>
      </c>
      <c r="U33" s="37">
        <f>Assumptions!$H29*IF(LEFT($B33,9)="Baltic C5",U$4,U$5)</f>
        <v>16.524000000000001</v>
      </c>
      <c r="V33" s="37">
        <f>Assumptions!$H29*IF(LEFT($B33,9)="Baltic C5",V$4,V$5)</f>
        <v>15.876000000000003</v>
      </c>
      <c r="W33" s="37">
        <f>Assumptions!$H29*IF(LEFT($B33,9)="Baltic C5",W$4,W$5)</f>
        <v>16.200000000000003</v>
      </c>
      <c r="X33" s="37">
        <f>Assumptions!$H29*IF(LEFT($B33,9)="Baltic C5",X$4,X$5)</f>
        <v>16.524000000000001</v>
      </c>
      <c r="Y33" s="37">
        <f>Assumptions!$H29*IF(LEFT($B33,9)="Baltic C5",Y$4,Y$5)</f>
        <v>16.848000000000003</v>
      </c>
      <c r="Z33" s="37">
        <f>Assumptions!$H29*IF(LEFT($B33,9)="Baltic C5",Z$4,Z$5)</f>
        <v>17.172000000000001</v>
      </c>
      <c r="AA33" s="37">
        <f>Assumptions!$H29*IF(LEFT($B33,9)="Baltic C5",AA$4,AA$5)</f>
        <v>17.496000000000002</v>
      </c>
      <c r="AB33" s="37">
        <f>Assumptions!$H29*IF(LEFT($B33,9)="Baltic C5",AB$4,AB$5)</f>
        <v>17.82</v>
      </c>
    </row>
    <row r="34" spans="1:28" x14ac:dyDescent="0.2">
      <c r="A34" s="7" t="s">
        <v>267</v>
      </c>
      <c r="B34" s="7" t="s">
        <v>350</v>
      </c>
      <c r="C34" s="37">
        <f>Assumptions!$H30*IF(LEFT($B34,9)="Baltic C5",C$4,C$5)</f>
        <v>16.848000000000003</v>
      </c>
      <c r="D34" s="37">
        <f>Assumptions!$H30*IF(LEFT($B34,9)="Baltic C5",D$4,D$5)</f>
        <v>14.742000000000001</v>
      </c>
      <c r="E34" s="37">
        <f>Assumptions!$H30*IF(LEFT($B34,9)="Baltic C5",E$4,E$5)</f>
        <v>12.636000000000001</v>
      </c>
      <c r="F34" s="37">
        <f>Assumptions!$H30*IF(LEFT($B34,9)="Baltic C5",F$4,F$5)</f>
        <v>14.256000000000002</v>
      </c>
      <c r="G34" s="37">
        <f>Assumptions!$H30*IF(LEFT($B34,9)="Baltic C5",G$4,G$5)</f>
        <v>13.122</v>
      </c>
      <c r="H34" s="37">
        <f>Assumptions!$H30*IF(LEFT($B34,9)="Baltic C5",H$4,H$5)</f>
        <v>7.9380000000000015</v>
      </c>
      <c r="I34" s="37">
        <f>Assumptions!$H30*IF(LEFT($B34,9)="Baltic C5",I$4,I$5)</f>
        <v>7.2900000000000009</v>
      </c>
      <c r="J34" s="37">
        <f>Assumptions!$H30*IF(LEFT($B34,9)="Baltic C5",J$4,J$5)</f>
        <v>11.016</v>
      </c>
      <c r="K34" s="37">
        <f>Assumptions!$H30*IF(LEFT($B34,9)="Baltic C5",K$4,K$5)</f>
        <v>12.311999999999999</v>
      </c>
      <c r="L34" s="37">
        <f>Assumptions!$H30*IF(LEFT($B34,9)="Baltic C5",L$4,L$5)</f>
        <v>12.474000000000002</v>
      </c>
      <c r="M34" s="37">
        <f>Assumptions!$H30*IF(LEFT($B34,9)="Baltic C5",M$4,M$5)</f>
        <v>10.854000000000001</v>
      </c>
      <c r="N34" s="37">
        <f>Assumptions!$H30*IF(LEFT($B34,9)="Baltic C5",N$4,N$5)</f>
        <v>19.602</v>
      </c>
      <c r="O34" s="37">
        <f>Assumptions!$H30*IF(LEFT($B34,9)="Baltic C5",O$4,O$5)</f>
        <v>16.038</v>
      </c>
      <c r="P34" s="37">
        <f>Assumptions!$H30*IF(LEFT($B34,9)="Baltic C5",P$4,P$5)</f>
        <v>14.093999999999999</v>
      </c>
      <c r="Q34" s="37">
        <f>Assumptions!$H30*IF(LEFT($B34,9)="Baltic C5",Q$4,Q$5)</f>
        <v>16.362000000000002</v>
      </c>
      <c r="R34" s="37">
        <f>Assumptions!$H30*IF(LEFT($B34,9)="Baltic C5",R$4,R$5)</f>
        <v>14.742000000000001</v>
      </c>
      <c r="S34" s="37">
        <f>Assumptions!$H30*IF(LEFT($B34,9)="Baltic C5",S$4,S$5)</f>
        <v>20.25</v>
      </c>
      <c r="T34" s="37">
        <f>Assumptions!$H30*IF(LEFT($B34,9)="Baltic C5",T$4,T$5)</f>
        <v>17.496000000000002</v>
      </c>
      <c r="U34" s="37">
        <f>Assumptions!$H30*IF(LEFT($B34,9)="Baltic C5",U$4,U$5)</f>
        <v>16.524000000000001</v>
      </c>
      <c r="V34" s="37">
        <f>Assumptions!$H30*IF(LEFT($B34,9)="Baltic C5",V$4,V$5)</f>
        <v>15.876000000000003</v>
      </c>
      <c r="W34" s="37">
        <f>Assumptions!$H30*IF(LEFT($B34,9)="Baltic C5",W$4,W$5)</f>
        <v>16.200000000000003</v>
      </c>
      <c r="X34" s="37">
        <f>Assumptions!$H30*IF(LEFT($B34,9)="Baltic C5",X$4,X$5)</f>
        <v>16.524000000000001</v>
      </c>
      <c r="Y34" s="37">
        <f>Assumptions!$H30*IF(LEFT($B34,9)="Baltic C5",Y$4,Y$5)</f>
        <v>16.848000000000003</v>
      </c>
      <c r="Z34" s="37">
        <f>Assumptions!$H30*IF(LEFT($B34,9)="Baltic C5",Z$4,Z$5)</f>
        <v>17.172000000000001</v>
      </c>
      <c r="AA34" s="37">
        <f>Assumptions!$H30*IF(LEFT($B34,9)="Baltic C5",AA$4,AA$5)</f>
        <v>17.496000000000002</v>
      </c>
      <c r="AB34" s="37">
        <f>Assumptions!$H30*IF(LEFT($B34,9)="Baltic C5",AB$4,AB$5)</f>
        <v>17.82</v>
      </c>
    </row>
    <row r="35" spans="1:28" x14ac:dyDescent="0.2">
      <c r="A35" s="7" t="s">
        <v>170</v>
      </c>
      <c r="B35" s="7" t="s">
        <v>350</v>
      </c>
      <c r="C35" s="37">
        <f>Assumptions!$H31*IF(LEFT($B35,9)="Baltic C5",C$4,C$5)</f>
        <v>16.848000000000003</v>
      </c>
      <c r="D35" s="37">
        <f>Assumptions!$H31*IF(LEFT($B35,9)="Baltic C5",D$4,D$5)</f>
        <v>14.742000000000001</v>
      </c>
      <c r="E35" s="37">
        <f>Assumptions!$H31*IF(LEFT($B35,9)="Baltic C5",E$4,E$5)</f>
        <v>12.636000000000001</v>
      </c>
      <c r="F35" s="37">
        <f>Assumptions!$H31*IF(LEFT($B35,9)="Baltic C5",F$4,F$5)</f>
        <v>14.256000000000002</v>
      </c>
      <c r="G35" s="37">
        <f>Assumptions!$H31*IF(LEFT($B35,9)="Baltic C5",G$4,G$5)</f>
        <v>13.122</v>
      </c>
      <c r="H35" s="37">
        <f>Assumptions!$H31*IF(LEFT($B35,9)="Baltic C5",H$4,H$5)</f>
        <v>7.9380000000000015</v>
      </c>
      <c r="I35" s="37">
        <f>Assumptions!$H31*IF(LEFT($B35,9)="Baltic C5",I$4,I$5)</f>
        <v>7.2900000000000009</v>
      </c>
      <c r="J35" s="37">
        <f>Assumptions!$H31*IF(LEFT($B35,9)="Baltic C5",J$4,J$5)</f>
        <v>11.016</v>
      </c>
      <c r="K35" s="37">
        <f>Assumptions!$H31*IF(LEFT($B35,9)="Baltic C5",K$4,K$5)</f>
        <v>12.311999999999999</v>
      </c>
      <c r="L35" s="37">
        <f>Assumptions!$H31*IF(LEFT($B35,9)="Baltic C5",L$4,L$5)</f>
        <v>12.474000000000002</v>
      </c>
      <c r="M35" s="37">
        <f>Assumptions!$H31*IF(LEFT($B35,9)="Baltic C5",M$4,M$5)</f>
        <v>10.854000000000001</v>
      </c>
      <c r="N35" s="37">
        <f>Assumptions!$H31*IF(LEFT($B35,9)="Baltic C5",N$4,N$5)</f>
        <v>19.602</v>
      </c>
      <c r="O35" s="37">
        <f>Assumptions!$H31*IF(LEFT($B35,9)="Baltic C5",O$4,O$5)</f>
        <v>16.038</v>
      </c>
      <c r="P35" s="37">
        <f>Assumptions!$H31*IF(LEFT($B35,9)="Baltic C5",P$4,P$5)</f>
        <v>14.093999999999999</v>
      </c>
      <c r="Q35" s="37">
        <f>Assumptions!$H31*IF(LEFT($B35,9)="Baltic C5",Q$4,Q$5)</f>
        <v>16.362000000000002</v>
      </c>
      <c r="R35" s="37">
        <f>Assumptions!$H31*IF(LEFT($B35,9)="Baltic C5",R$4,R$5)</f>
        <v>14.742000000000001</v>
      </c>
      <c r="S35" s="37">
        <f>Assumptions!$H31*IF(LEFT($B35,9)="Baltic C5",S$4,S$5)</f>
        <v>20.25</v>
      </c>
      <c r="T35" s="37">
        <f>Assumptions!$H31*IF(LEFT($B35,9)="Baltic C5",T$4,T$5)</f>
        <v>17.496000000000002</v>
      </c>
      <c r="U35" s="37">
        <f>Assumptions!$H31*IF(LEFT($B35,9)="Baltic C5",U$4,U$5)</f>
        <v>16.524000000000001</v>
      </c>
      <c r="V35" s="37">
        <f>Assumptions!$H31*IF(LEFT($B35,9)="Baltic C5",V$4,V$5)</f>
        <v>15.876000000000003</v>
      </c>
      <c r="W35" s="37">
        <f>Assumptions!$H31*IF(LEFT($B35,9)="Baltic C5",W$4,W$5)</f>
        <v>16.200000000000003</v>
      </c>
      <c r="X35" s="37">
        <f>Assumptions!$H31*IF(LEFT($B35,9)="Baltic C5",X$4,X$5)</f>
        <v>16.524000000000001</v>
      </c>
      <c r="Y35" s="37">
        <f>Assumptions!$H31*IF(LEFT($B35,9)="Baltic C5",Y$4,Y$5)</f>
        <v>16.848000000000003</v>
      </c>
      <c r="Z35" s="37">
        <f>Assumptions!$H31*IF(LEFT($B35,9)="Baltic C5",Z$4,Z$5)</f>
        <v>17.172000000000001</v>
      </c>
      <c r="AA35" s="37">
        <f>Assumptions!$H31*IF(LEFT($B35,9)="Baltic C5",AA$4,AA$5)</f>
        <v>17.496000000000002</v>
      </c>
      <c r="AB35" s="37">
        <f>Assumptions!$H31*IF(LEFT($B35,9)="Baltic C5",AB$4,AB$5)</f>
        <v>17.82</v>
      </c>
    </row>
    <row r="36" spans="1:28" x14ac:dyDescent="0.2">
      <c r="A36" s="7" t="s">
        <v>271</v>
      </c>
      <c r="B36" s="7" t="s">
        <v>350</v>
      </c>
      <c r="C36" s="37">
        <f>Assumptions!$H32*IF(LEFT($B36,9)="Baltic C5",C$4,C$5)</f>
        <v>16.848000000000003</v>
      </c>
      <c r="D36" s="37">
        <f>Assumptions!$H32*IF(LEFT($B36,9)="Baltic C5",D$4,D$5)</f>
        <v>14.742000000000001</v>
      </c>
      <c r="E36" s="37">
        <f>Assumptions!$H32*IF(LEFT($B36,9)="Baltic C5",E$4,E$5)</f>
        <v>12.636000000000001</v>
      </c>
      <c r="F36" s="37">
        <f>Assumptions!$H32*IF(LEFT($B36,9)="Baltic C5",F$4,F$5)</f>
        <v>14.256000000000002</v>
      </c>
      <c r="G36" s="37">
        <f>Assumptions!$H32*IF(LEFT($B36,9)="Baltic C5",G$4,G$5)</f>
        <v>13.122</v>
      </c>
      <c r="H36" s="37">
        <f>Assumptions!$H32*IF(LEFT($B36,9)="Baltic C5",H$4,H$5)</f>
        <v>7.9380000000000015</v>
      </c>
      <c r="I36" s="37">
        <f>Assumptions!$H32*IF(LEFT($B36,9)="Baltic C5",I$4,I$5)</f>
        <v>7.2900000000000009</v>
      </c>
      <c r="J36" s="37">
        <f>Assumptions!$H32*IF(LEFT($B36,9)="Baltic C5",J$4,J$5)</f>
        <v>11.016</v>
      </c>
      <c r="K36" s="37">
        <f>Assumptions!$H32*IF(LEFT($B36,9)="Baltic C5",K$4,K$5)</f>
        <v>12.311999999999999</v>
      </c>
      <c r="L36" s="37">
        <f>Assumptions!$H32*IF(LEFT($B36,9)="Baltic C5",L$4,L$5)</f>
        <v>12.474000000000002</v>
      </c>
      <c r="M36" s="37">
        <f>Assumptions!$H32*IF(LEFT($B36,9)="Baltic C5",M$4,M$5)</f>
        <v>10.854000000000001</v>
      </c>
      <c r="N36" s="37">
        <f>Assumptions!$H32*IF(LEFT($B36,9)="Baltic C5",N$4,N$5)</f>
        <v>19.602</v>
      </c>
      <c r="O36" s="37">
        <f>Assumptions!$H32*IF(LEFT($B36,9)="Baltic C5",O$4,O$5)</f>
        <v>16.038</v>
      </c>
      <c r="P36" s="37">
        <f>Assumptions!$H32*IF(LEFT($B36,9)="Baltic C5",P$4,P$5)</f>
        <v>14.093999999999999</v>
      </c>
      <c r="Q36" s="37">
        <f>Assumptions!$H32*IF(LEFT($B36,9)="Baltic C5",Q$4,Q$5)</f>
        <v>16.362000000000002</v>
      </c>
      <c r="R36" s="37">
        <f>Assumptions!$H32*IF(LEFT($B36,9)="Baltic C5",R$4,R$5)</f>
        <v>14.742000000000001</v>
      </c>
      <c r="S36" s="37">
        <f>Assumptions!$H32*IF(LEFT($B36,9)="Baltic C5",S$4,S$5)</f>
        <v>20.25</v>
      </c>
      <c r="T36" s="37">
        <f>Assumptions!$H32*IF(LEFT($B36,9)="Baltic C5",T$4,T$5)</f>
        <v>17.496000000000002</v>
      </c>
      <c r="U36" s="37">
        <f>Assumptions!$H32*IF(LEFT($B36,9)="Baltic C5",U$4,U$5)</f>
        <v>16.524000000000001</v>
      </c>
      <c r="V36" s="37">
        <f>Assumptions!$H32*IF(LEFT($B36,9)="Baltic C5",V$4,V$5)</f>
        <v>15.876000000000003</v>
      </c>
      <c r="W36" s="37">
        <f>Assumptions!$H32*IF(LEFT($B36,9)="Baltic C5",W$4,W$5)</f>
        <v>16.200000000000003</v>
      </c>
      <c r="X36" s="37">
        <f>Assumptions!$H32*IF(LEFT($B36,9)="Baltic C5",X$4,X$5)</f>
        <v>16.524000000000001</v>
      </c>
      <c r="Y36" s="37">
        <f>Assumptions!$H32*IF(LEFT($B36,9)="Baltic C5",Y$4,Y$5)</f>
        <v>16.848000000000003</v>
      </c>
      <c r="Z36" s="37">
        <f>Assumptions!$H32*IF(LEFT($B36,9)="Baltic C5",Z$4,Z$5)</f>
        <v>17.172000000000001</v>
      </c>
      <c r="AA36" s="37">
        <f>Assumptions!$H32*IF(LEFT($B36,9)="Baltic C5",AA$4,AA$5)</f>
        <v>17.496000000000002</v>
      </c>
      <c r="AB36" s="37">
        <f>Assumptions!$H32*IF(LEFT($B36,9)="Baltic C5",AB$4,AB$5)</f>
        <v>17.82</v>
      </c>
    </row>
    <row r="37" spans="1:28" x14ac:dyDescent="0.2">
      <c r="A37" s="7" t="s">
        <v>274</v>
      </c>
      <c r="B37" s="7" t="s">
        <v>350</v>
      </c>
      <c r="C37" s="37">
        <f>Assumptions!$H33*IF(LEFT($B37,9)="Baltic C5",C$4,C$5)</f>
        <v>16.848000000000003</v>
      </c>
      <c r="D37" s="37">
        <f>Assumptions!$H33*IF(LEFT($B37,9)="Baltic C5",D$4,D$5)</f>
        <v>14.742000000000001</v>
      </c>
      <c r="E37" s="37">
        <f>Assumptions!$H33*IF(LEFT($B37,9)="Baltic C5",E$4,E$5)</f>
        <v>12.636000000000001</v>
      </c>
      <c r="F37" s="37">
        <f>Assumptions!$H33*IF(LEFT($B37,9)="Baltic C5",F$4,F$5)</f>
        <v>14.256000000000002</v>
      </c>
      <c r="G37" s="37">
        <f>Assumptions!$H33*IF(LEFT($B37,9)="Baltic C5",G$4,G$5)</f>
        <v>13.122</v>
      </c>
      <c r="H37" s="37">
        <f>Assumptions!$H33*IF(LEFT($B37,9)="Baltic C5",H$4,H$5)</f>
        <v>7.9380000000000015</v>
      </c>
      <c r="I37" s="37">
        <f>Assumptions!$H33*IF(LEFT($B37,9)="Baltic C5",I$4,I$5)</f>
        <v>7.2900000000000009</v>
      </c>
      <c r="J37" s="37">
        <f>Assumptions!$H33*IF(LEFT($B37,9)="Baltic C5",J$4,J$5)</f>
        <v>11.016</v>
      </c>
      <c r="K37" s="37">
        <f>Assumptions!$H33*IF(LEFT($B37,9)="Baltic C5",K$4,K$5)</f>
        <v>12.311999999999999</v>
      </c>
      <c r="L37" s="37">
        <f>Assumptions!$H33*IF(LEFT($B37,9)="Baltic C5",L$4,L$5)</f>
        <v>12.474000000000002</v>
      </c>
      <c r="M37" s="37">
        <f>Assumptions!$H33*IF(LEFT($B37,9)="Baltic C5",M$4,M$5)</f>
        <v>10.854000000000001</v>
      </c>
      <c r="N37" s="37">
        <f>Assumptions!$H33*IF(LEFT($B37,9)="Baltic C5",N$4,N$5)</f>
        <v>19.602</v>
      </c>
      <c r="O37" s="37">
        <f>Assumptions!$H33*IF(LEFT($B37,9)="Baltic C5",O$4,O$5)</f>
        <v>16.038</v>
      </c>
      <c r="P37" s="37">
        <f>Assumptions!$H33*IF(LEFT($B37,9)="Baltic C5",P$4,P$5)</f>
        <v>14.093999999999999</v>
      </c>
      <c r="Q37" s="37">
        <f>Assumptions!$H33*IF(LEFT($B37,9)="Baltic C5",Q$4,Q$5)</f>
        <v>16.362000000000002</v>
      </c>
      <c r="R37" s="37">
        <f>Assumptions!$H33*IF(LEFT($B37,9)="Baltic C5",R$4,R$5)</f>
        <v>14.742000000000001</v>
      </c>
      <c r="S37" s="37">
        <f>Assumptions!$H33*IF(LEFT($B37,9)="Baltic C5",S$4,S$5)</f>
        <v>20.25</v>
      </c>
      <c r="T37" s="37">
        <f>Assumptions!$H33*IF(LEFT($B37,9)="Baltic C5",T$4,T$5)</f>
        <v>17.496000000000002</v>
      </c>
      <c r="U37" s="37">
        <f>Assumptions!$H33*IF(LEFT($B37,9)="Baltic C5",U$4,U$5)</f>
        <v>16.524000000000001</v>
      </c>
      <c r="V37" s="37">
        <f>Assumptions!$H33*IF(LEFT($B37,9)="Baltic C5",V$4,V$5)</f>
        <v>15.876000000000003</v>
      </c>
      <c r="W37" s="37">
        <f>Assumptions!$H33*IF(LEFT($B37,9)="Baltic C5",W$4,W$5)</f>
        <v>16.200000000000003</v>
      </c>
      <c r="X37" s="37">
        <f>Assumptions!$H33*IF(LEFT($B37,9)="Baltic C5",X$4,X$5)</f>
        <v>16.524000000000001</v>
      </c>
      <c r="Y37" s="37">
        <f>Assumptions!$H33*IF(LEFT($B37,9)="Baltic C5",Y$4,Y$5)</f>
        <v>16.848000000000003</v>
      </c>
      <c r="Z37" s="37">
        <f>Assumptions!$H33*IF(LEFT($B37,9)="Baltic C5",Z$4,Z$5)</f>
        <v>17.172000000000001</v>
      </c>
      <c r="AA37" s="37">
        <f>Assumptions!$H33*IF(LEFT($B37,9)="Baltic C5",AA$4,AA$5)</f>
        <v>17.496000000000002</v>
      </c>
      <c r="AB37" s="37">
        <f>Assumptions!$H33*IF(LEFT($B37,9)="Baltic C5",AB$4,AB$5)</f>
        <v>17.82</v>
      </c>
    </row>
    <row r="38" spans="1:28" x14ac:dyDescent="0.2">
      <c r="A38" s="7" t="s">
        <v>276</v>
      </c>
      <c r="B38" s="7" t="s">
        <v>350</v>
      </c>
      <c r="C38" s="37">
        <f>Assumptions!$H34*IF(LEFT($B38,9)="Baltic C5",C$4,C$5)</f>
        <v>16.848000000000003</v>
      </c>
      <c r="D38" s="37">
        <f>Assumptions!$H34*IF(LEFT($B38,9)="Baltic C5",D$4,D$5)</f>
        <v>14.742000000000001</v>
      </c>
      <c r="E38" s="37">
        <f>Assumptions!$H34*IF(LEFT($B38,9)="Baltic C5",E$4,E$5)</f>
        <v>12.636000000000001</v>
      </c>
      <c r="F38" s="37">
        <f>Assumptions!$H34*IF(LEFT($B38,9)="Baltic C5",F$4,F$5)</f>
        <v>14.256000000000002</v>
      </c>
      <c r="G38" s="37">
        <f>Assumptions!$H34*IF(LEFT($B38,9)="Baltic C5",G$4,G$5)</f>
        <v>13.122</v>
      </c>
      <c r="H38" s="37">
        <f>Assumptions!$H34*IF(LEFT($B38,9)="Baltic C5",H$4,H$5)</f>
        <v>7.9380000000000015</v>
      </c>
      <c r="I38" s="37">
        <f>Assumptions!$H34*IF(LEFT($B38,9)="Baltic C5",I$4,I$5)</f>
        <v>7.2900000000000009</v>
      </c>
      <c r="J38" s="37">
        <f>Assumptions!$H34*IF(LEFT($B38,9)="Baltic C5",J$4,J$5)</f>
        <v>11.016</v>
      </c>
      <c r="K38" s="37">
        <f>Assumptions!$H34*IF(LEFT($B38,9)="Baltic C5",K$4,K$5)</f>
        <v>12.311999999999999</v>
      </c>
      <c r="L38" s="37">
        <f>Assumptions!$H34*IF(LEFT($B38,9)="Baltic C5",L$4,L$5)</f>
        <v>12.474000000000002</v>
      </c>
      <c r="M38" s="37">
        <f>Assumptions!$H34*IF(LEFT($B38,9)="Baltic C5",M$4,M$5)</f>
        <v>10.854000000000001</v>
      </c>
      <c r="N38" s="37">
        <f>Assumptions!$H34*IF(LEFT($B38,9)="Baltic C5",N$4,N$5)</f>
        <v>19.602</v>
      </c>
      <c r="O38" s="37">
        <f>Assumptions!$H34*IF(LEFT($B38,9)="Baltic C5",O$4,O$5)</f>
        <v>16.038</v>
      </c>
      <c r="P38" s="37">
        <f>Assumptions!$H34*IF(LEFT($B38,9)="Baltic C5",P$4,P$5)</f>
        <v>14.093999999999999</v>
      </c>
      <c r="Q38" s="37">
        <f>Assumptions!$H34*IF(LEFT($B38,9)="Baltic C5",Q$4,Q$5)</f>
        <v>16.362000000000002</v>
      </c>
      <c r="R38" s="37">
        <f>Assumptions!$H34*IF(LEFT($B38,9)="Baltic C5",R$4,R$5)</f>
        <v>14.742000000000001</v>
      </c>
      <c r="S38" s="37">
        <f>Assumptions!$H34*IF(LEFT($B38,9)="Baltic C5",S$4,S$5)</f>
        <v>20.25</v>
      </c>
      <c r="T38" s="37">
        <f>Assumptions!$H34*IF(LEFT($B38,9)="Baltic C5",T$4,T$5)</f>
        <v>17.496000000000002</v>
      </c>
      <c r="U38" s="37">
        <f>Assumptions!$H34*IF(LEFT($B38,9)="Baltic C5",U$4,U$5)</f>
        <v>16.524000000000001</v>
      </c>
      <c r="V38" s="37">
        <f>Assumptions!$H34*IF(LEFT($B38,9)="Baltic C5",V$4,V$5)</f>
        <v>15.876000000000003</v>
      </c>
      <c r="W38" s="37">
        <f>Assumptions!$H34*IF(LEFT($B38,9)="Baltic C5",W$4,W$5)</f>
        <v>16.200000000000003</v>
      </c>
      <c r="X38" s="37">
        <f>Assumptions!$H34*IF(LEFT($B38,9)="Baltic C5",X$4,X$5)</f>
        <v>16.524000000000001</v>
      </c>
      <c r="Y38" s="37">
        <f>Assumptions!$H34*IF(LEFT($B38,9)="Baltic C5",Y$4,Y$5)</f>
        <v>16.848000000000003</v>
      </c>
      <c r="Z38" s="37">
        <f>Assumptions!$H34*IF(LEFT($B38,9)="Baltic C5",Z$4,Z$5)</f>
        <v>17.172000000000001</v>
      </c>
      <c r="AA38" s="37">
        <f>Assumptions!$H34*IF(LEFT($B38,9)="Baltic C5",AA$4,AA$5)</f>
        <v>17.496000000000002</v>
      </c>
      <c r="AB38" s="37">
        <f>Assumptions!$H34*IF(LEFT($B38,9)="Baltic C5",AB$4,AB$5)</f>
        <v>17.82</v>
      </c>
    </row>
    <row r="39" spans="1:28" x14ac:dyDescent="0.2">
      <c r="A39" s="7" t="s">
        <v>279</v>
      </c>
      <c r="B39" s="7" t="s">
        <v>350</v>
      </c>
      <c r="C39" s="37">
        <f>Assumptions!$H35*IF(LEFT($B39,9)="Baltic C5",C$4,C$5)</f>
        <v>16.848000000000003</v>
      </c>
      <c r="D39" s="37">
        <f>Assumptions!$H35*IF(LEFT($B39,9)="Baltic C5",D$4,D$5)</f>
        <v>14.742000000000001</v>
      </c>
      <c r="E39" s="37">
        <f>Assumptions!$H35*IF(LEFT($B39,9)="Baltic C5",E$4,E$5)</f>
        <v>12.636000000000001</v>
      </c>
      <c r="F39" s="37">
        <f>Assumptions!$H35*IF(LEFT($B39,9)="Baltic C5",F$4,F$5)</f>
        <v>14.256000000000002</v>
      </c>
      <c r="G39" s="37">
        <f>Assumptions!$H35*IF(LEFT($B39,9)="Baltic C5",G$4,G$5)</f>
        <v>13.122</v>
      </c>
      <c r="H39" s="37">
        <f>Assumptions!$H35*IF(LEFT($B39,9)="Baltic C5",H$4,H$5)</f>
        <v>7.9380000000000015</v>
      </c>
      <c r="I39" s="37">
        <f>Assumptions!$H35*IF(LEFT($B39,9)="Baltic C5",I$4,I$5)</f>
        <v>7.2900000000000009</v>
      </c>
      <c r="J39" s="37">
        <f>Assumptions!$H35*IF(LEFT($B39,9)="Baltic C5",J$4,J$5)</f>
        <v>11.016</v>
      </c>
      <c r="K39" s="37">
        <f>Assumptions!$H35*IF(LEFT($B39,9)="Baltic C5",K$4,K$5)</f>
        <v>12.311999999999999</v>
      </c>
      <c r="L39" s="37">
        <f>Assumptions!$H35*IF(LEFT($B39,9)="Baltic C5",L$4,L$5)</f>
        <v>12.474000000000002</v>
      </c>
      <c r="M39" s="37">
        <f>Assumptions!$H35*IF(LEFT($B39,9)="Baltic C5",M$4,M$5)</f>
        <v>10.854000000000001</v>
      </c>
      <c r="N39" s="37">
        <f>Assumptions!$H35*IF(LEFT($B39,9)="Baltic C5",N$4,N$5)</f>
        <v>19.602</v>
      </c>
      <c r="O39" s="37">
        <f>Assumptions!$H35*IF(LEFT($B39,9)="Baltic C5",O$4,O$5)</f>
        <v>16.038</v>
      </c>
      <c r="P39" s="37">
        <f>Assumptions!$H35*IF(LEFT($B39,9)="Baltic C5",P$4,P$5)</f>
        <v>14.093999999999999</v>
      </c>
      <c r="Q39" s="37">
        <f>Assumptions!$H35*IF(LEFT($B39,9)="Baltic C5",Q$4,Q$5)</f>
        <v>16.362000000000002</v>
      </c>
      <c r="R39" s="37">
        <f>Assumptions!$H35*IF(LEFT($B39,9)="Baltic C5",R$4,R$5)</f>
        <v>14.742000000000001</v>
      </c>
      <c r="S39" s="37">
        <f>Assumptions!$H35*IF(LEFT($B39,9)="Baltic C5",S$4,S$5)</f>
        <v>20.25</v>
      </c>
      <c r="T39" s="37">
        <f>Assumptions!$H35*IF(LEFT($B39,9)="Baltic C5",T$4,T$5)</f>
        <v>17.496000000000002</v>
      </c>
      <c r="U39" s="37">
        <f>Assumptions!$H35*IF(LEFT($B39,9)="Baltic C5",U$4,U$5)</f>
        <v>16.524000000000001</v>
      </c>
      <c r="V39" s="37">
        <f>Assumptions!$H35*IF(LEFT($B39,9)="Baltic C5",V$4,V$5)</f>
        <v>15.876000000000003</v>
      </c>
      <c r="W39" s="37">
        <f>Assumptions!$H35*IF(LEFT($B39,9)="Baltic C5",W$4,W$5)</f>
        <v>16.200000000000003</v>
      </c>
      <c r="X39" s="37">
        <f>Assumptions!$H35*IF(LEFT($B39,9)="Baltic C5",X$4,X$5)</f>
        <v>16.524000000000001</v>
      </c>
      <c r="Y39" s="37">
        <f>Assumptions!$H35*IF(LEFT($B39,9)="Baltic C5",Y$4,Y$5)</f>
        <v>16.848000000000003</v>
      </c>
      <c r="Z39" s="37">
        <f>Assumptions!$H35*IF(LEFT($B39,9)="Baltic C5",Z$4,Z$5)</f>
        <v>17.172000000000001</v>
      </c>
      <c r="AA39" s="37">
        <f>Assumptions!$H35*IF(LEFT($B39,9)="Baltic C5",AA$4,AA$5)</f>
        <v>17.496000000000002</v>
      </c>
      <c r="AB39" s="37">
        <f>Assumptions!$H35*IF(LEFT($B39,9)="Baltic C5",AB$4,AB$5)</f>
        <v>17.82</v>
      </c>
    </row>
    <row r="40" spans="1:28" x14ac:dyDescent="0.2">
      <c r="A40" s="7" t="s">
        <v>173</v>
      </c>
      <c r="B40" s="7" t="s">
        <v>351</v>
      </c>
      <c r="C40" s="37">
        <f>Assumptions!$H36*IF(LEFT($B40,9)="Baltic C5",C$4,C$5)</f>
        <v>25.675999999999998</v>
      </c>
      <c r="D40" s="37">
        <f>Assumptions!$H36*IF(LEFT($B40,9)="Baltic C5",D$4,D$5)</f>
        <v>22.05</v>
      </c>
      <c r="E40" s="37">
        <f>Assumptions!$H36*IF(LEFT($B40,9)="Baltic C5",E$4,E$5)</f>
        <v>19.305999999999997</v>
      </c>
      <c r="F40" s="37">
        <f>Assumptions!$H36*IF(LEFT($B40,9)="Baltic C5",F$4,F$5)</f>
        <v>20.678000000000001</v>
      </c>
      <c r="G40" s="37">
        <f>Assumptions!$H36*IF(LEFT($B40,9)="Baltic C5",G$4,G$5)</f>
        <v>20.188000000000002</v>
      </c>
      <c r="H40" s="37">
        <f>Assumptions!$H36*IF(LEFT($B40,9)="Baltic C5",H$4,H$5)</f>
        <v>10.975999999999999</v>
      </c>
      <c r="I40" s="37">
        <f>Assumptions!$H36*IF(LEFT($B40,9)="Baltic C5",I$4,I$5)</f>
        <v>8.9179999999999993</v>
      </c>
      <c r="J40" s="37">
        <f>Assumptions!$H36*IF(LEFT($B40,9)="Baltic C5",J$4,J$5)</f>
        <v>14.895999999999999</v>
      </c>
      <c r="K40" s="37">
        <f>Assumptions!$H36*IF(LEFT($B40,9)="Baltic C5",K$4,K$5)</f>
        <v>18.032</v>
      </c>
      <c r="L40" s="37">
        <f>Assumptions!$H36*IF(LEFT($B40,9)="Baltic C5",L$4,L$5)</f>
        <v>18.228000000000002</v>
      </c>
      <c r="M40" s="37">
        <f>Assumptions!$H36*IF(LEFT($B40,9)="Baltic C5",M$4,M$5)</f>
        <v>14.504</v>
      </c>
      <c r="N40" s="37">
        <f>Assumptions!$H36*IF(LEFT($B40,9)="Baltic C5",N$4,N$5)</f>
        <v>26.166</v>
      </c>
      <c r="O40" s="37">
        <f>Assumptions!$H36*IF(LEFT($B40,9)="Baltic C5",O$4,O$5)</f>
        <v>23.52</v>
      </c>
      <c r="P40" s="37">
        <f>Assumptions!$H36*IF(LEFT($B40,9)="Baltic C5",P$4,P$5)</f>
        <v>20.58</v>
      </c>
      <c r="Q40" s="37">
        <f>Assumptions!$H36*IF(LEFT($B40,9)="Baltic C5",Q$4,Q$5)</f>
        <v>24.5</v>
      </c>
      <c r="R40" s="37">
        <f>Assumptions!$H36*IF(LEFT($B40,9)="Baltic C5",R$4,R$5)</f>
        <v>21.462</v>
      </c>
      <c r="S40" s="37">
        <f>Assumptions!$H36*IF(LEFT($B40,9)="Baltic C5",S$4,S$5)</f>
        <v>30.38</v>
      </c>
      <c r="T40" s="37">
        <f>Assumptions!$H36*IF(LEFT($B40,9)="Baltic C5",T$4,T$5)</f>
        <v>24.99</v>
      </c>
      <c r="U40" s="37">
        <f>Assumptions!$H36*IF(LEFT($B40,9)="Baltic C5",U$4,U$5)</f>
        <v>22.736000000000001</v>
      </c>
      <c r="V40" s="37">
        <f>Assumptions!$H36*IF(LEFT($B40,9)="Baltic C5",V$4,V$5)</f>
        <v>21.364000000000001</v>
      </c>
      <c r="W40" s="37">
        <f>Assumptions!$H36*IF(LEFT($B40,9)="Baltic C5",W$4,W$5)</f>
        <v>21.756</v>
      </c>
      <c r="X40" s="37">
        <f>Assumptions!$H36*IF(LEFT($B40,9)="Baltic C5",X$4,X$5)</f>
        <v>22.245999999999999</v>
      </c>
      <c r="Y40" s="37">
        <f>Assumptions!$H36*IF(LEFT($B40,9)="Baltic C5",Y$4,Y$5)</f>
        <v>22.638000000000002</v>
      </c>
      <c r="Z40" s="37">
        <f>Assumptions!$H36*IF(LEFT($B40,9)="Baltic C5",Z$4,Z$5)</f>
        <v>23.128</v>
      </c>
      <c r="AA40" s="37">
        <f>Assumptions!$H36*IF(LEFT($B40,9)="Baltic C5",AA$4,AA$5)</f>
        <v>23.618000000000002</v>
      </c>
      <c r="AB40" s="37">
        <f>Assumptions!$H36*IF(LEFT($B40,9)="Baltic C5",AB$4,AB$5)</f>
        <v>24.108000000000001</v>
      </c>
    </row>
    <row r="41" spans="1:28" x14ac:dyDescent="0.2">
      <c r="A41" s="7" t="s">
        <v>177</v>
      </c>
      <c r="B41" s="7" t="s">
        <v>351</v>
      </c>
      <c r="C41" s="37">
        <f>Assumptions!$H37*IF(LEFT($B41,9)="Baltic C5",C$4,C$5)</f>
        <v>25.675999999999998</v>
      </c>
      <c r="D41" s="37">
        <f>Assumptions!$H37*IF(LEFT($B41,9)="Baltic C5",D$4,D$5)</f>
        <v>22.05</v>
      </c>
      <c r="E41" s="37">
        <f>Assumptions!$H37*IF(LEFT($B41,9)="Baltic C5",E$4,E$5)</f>
        <v>19.305999999999997</v>
      </c>
      <c r="F41" s="37">
        <f>Assumptions!$H37*IF(LEFT($B41,9)="Baltic C5",F$4,F$5)</f>
        <v>20.678000000000001</v>
      </c>
      <c r="G41" s="37">
        <f>Assumptions!$H37*IF(LEFT($B41,9)="Baltic C5",G$4,G$5)</f>
        <v>20.188000000000002</v>
      </c>
      <c r="H41" s="37">
        <f>Assumptions!$H37*IF(LEFT($B41,9)="Baltic C5",H$4,H$5)</f>
        <v>10.975999999999999</v>
      </c>
      <c r="I41" s="37">
        <f>Assumptions!$H37*IF(LEFT($B41,9)="Baltic C5",I$4,I$5)</f>
        <v>8.9179999999999993</v>
      </c>
      <c r="J41" s="37">
        <f>Assumptions!$H37*IF(LEFT($B41,9)="Baltic C5",J$4,J$5)</f>
        <v>14.895999999999999</v>
      </c>
      <c r="K41" s="37">
        <f>Assumptions!$H37*IF(LEFT($B41,9)="Baltic C5",K$4,K$5)</f>
        <v>18.032</v>
      </c>
      <c r="L41" s="37">
        <f>Assumptions!$H37*IF(LEFT($B41,9)="Baltic C5",L$4,L$5)</f>
        <v>18.228000000000002</v>
      </c>
      <c r="M41" s="37">
        <f>Assumptions!$H37*IF(LEFT($B41,9)="Baltic C5",M$4,M$5)</f>
        <v>14.504</v>
      </c>
      <c r="N41" s="37">
        <f>Assumptions!$H37*IF(LEFT($B41,9)="Baltic C5",N$4,N$5)</f>
        <v>26.166</v>
      </c>
      <c r="O41" s="37">
        <f>Assumptions!$H37*IF(LEFT($B41,9)="Baltic C5",O$4,O$5)</f>
        <v>23.52</v>
      </c>
      <c r="P41" s="37">
        <f>Assumptions!$H37*IF(LEFT($B41,9)="Baltic C5",P$4,P$5)</f>
        <v>20.58</v>
      </c>
      <c r="Q41" s="37">
        <f>Assumptions!$H37*IF(LEFT($B41,9)="Baltic C5",Q$4,Q$5)</f>
        <v>24.5</v>
      </c>
      <c r="R41" s="37">
        <f>Assumptions!$H37*IF(LEFT($B41,9)="Baltic C5",R$4,R$5)</f>
        <v>21.462</v>
      </c>
      <c r="S41" s="37">
        <f>Assumptions!$H37*IF(LEFT($B41,9)="Baltic C5",S$4,S$5)</f>
        <v>30.38</v>
      </c>
      <c r="T41" s="37">
        <f>Assumptions!$H37*IF(LEFT($B41,9)="Baltic C5",T$4,T$5)</f>
        <v>24.99</v>
      </c>
      <c r="U41" s="37">
        <f>Assumptions!$H37*IF(LEFT($B41,9)="Baltic C5",U$4,U$5)</f>
        <v>22.736000000000001</v>
      </c>
      <c r="V41" s="37">
        <f>Assumptions!$H37*IF(LEFT($B41,9)="Baltic C5",V$4,V$5)</f>
        <v>21.364000000000001</v>
      </c>
      <c r="W41" s="37">
        <f>Assumptions!$H37*IF(LEFT($B41,9)="Baltic C5",W$4,W$5)</f>
        <v>21.756</v>
      </c>
      <c r="X41" s="37">
        <f>Assumptions!$H37*IF(LEFT($B41,9)="Baltic C5",X$4,X$5)</f>
        <v>22.245999999999999</v>
      </c>
      <c r="Y41" s="37">
        <f>Assumptions!$H37*IF(LEFT($B41,9)="Baltic C5",Y$4,Y$5)</f>
        <v>22.638000000000002</v>
      </c>
      <c r="Z41" s="37">
        <f>Assumptions!$H37*IF(LEFT($B41,9)="Baltic C5",Z$4,Z$5)</f>
        <v>23.128</v>
      </c>
      <c r="AA41" s="37">
        <f>Assumptions!$H37*IF(LEFT($B41,9)="Baltic C5",AA$4,AA$5)</f>
        <v>23.618000000000002</v>
      </c>
      <c r="AB41" s="37">
        <f>Assumptions!$H37*IF(LEFT($B41,9)="Baltic C5",AB$4,AB$5)</f>
        <v>24.108000000000001</v>
      </c>
    </row>
    <row r="42" spans="1:28" x14ac:dyDescent="0.2">
      <c r="A42" s="7" t="s">
        <v>119</v>
      </c>
      <c r="B42" s="7" t="s">
        <v>345</v>
      </c>
      <c r="C42" s="37">
        <f>Assumptions!$H38*IF(LEFT($B42,9)="Baltic C5",C$4,C$5)</f>
        <v>25.937999999999999</v>
      </c>
      <c r="D42" s="37">
        <f>Assumptions!$H38*IF(LEFT($B42,9)="Baltic C5",D$4,D$5)</f>
        <v>22.274999999999999</v>
      </c>
      <c r="E42" s="37">
        <f>Assumptions!$H38*IF(LEFT($B42,9)="Baltic C5",E$4,E$5)</f>
        <v>19.503</v>
      </c>
      <c r="F42" s="37">
        <f>Assumptions!$H38*IF(LEFT($B42,9)="Baltic C5",F$4,F$5)</f>
        <v>20.889000000000003</v>
      </c>
      <c r="G42" s="37">
        <f>Assumptions!$H38*IF(LEFT($B42,9)="Baltic C5",G$4,G$5)</f>
        <v>20.394000000000002</v>
      </c>
      <c r="H42" s="37">
        <f>Assumptions!$H38*IF(LEFT($B42,9)="Baltic C5",H$4,H$5)</f>
        <v>11.087999999999999</v>
      </c>
      <c r="I42" s="37">
        <f>Assumptions!$H38*IF(LEFT($B42,9)="Baltic C5",I$4,I$5)</f>
        <v>9.0090000000000003</v>
      </c>
      <c r="J42" s="37">
        <f>Assumptions!$H38*IF(LEFT($B42,9)="Baltic C5",J$4,J$5)</f>
        <v>15.048</v>
      </c>
      <c r="K42" s="37">
        <f>Assumptions!$H38*IF(LEFT($B42,9)="Baltic C5",K$4,K$5)</f>
        <v>18.215999999999998</v>
      </c>
      <c r="L42" s="37">
        <f>Assumptions!$H38*IF(LEFT($B42,9)="Baltic C5",L$4,L$5)</f>
        <v>18.414000000000001</v>
      </c>
      <c r="M42" s="37">
        <f>Assumptions!$H38*IF(LEFT($B42,9)="Baltic C5",M$4,M$5)</f>
        <v>14.652000000000001</v>
      </c>
      <c r="N42" s="37">
        <f>Assumptions!$H38*IF(LEFT($B42,9)="Baltic C5",N$4,N$5)</f>
        <v>26.433</v>
      </c>
      <c r="O42" s="37">
        <f>Assumptions!$H38*IF(LEFT($B42,9)="Baltic C5",O$4,O$5)</f>
        <v>23.759999999999998</v>
      </c>
      <c r="P42" s="37">
        <f>Assumptions!$H38*IF(LEFT($B42,9)="Baltic C5",P$4,P$5)</f>
        <v>20.79</v>
      </c>
      <c r="Q42" s="37">
        <f>Assumptions!$H38*IF(LEFT($B42,9)="Baltic C5",Q$4,Q$5)</f>
        <v>24.75</v>
      </c>
      <c r="R42" s="37">
        <f>Assumptions!$H38*IF(LEFT($B42,9)="Baltic C5",R$4,R$5)</f>
        <v>21.680999999999997</v>
      </c>
      <c r="S42" s="37">
        <f>Assumptions!$H38*IF(LEFT($B42,9)="Baltic C5",S$4,S$5)</f>
        <v>30.69</v>
      </c>
      <c r="T42" s="37">
        <f>Assumptions!$H38*IF(LEFT($B42,9)="Baltic C5",T$4,T$5)</f>
        <v>25.245000000000001</v>
      </c>
      <c r="U42" s="37">
        <f>Assumptions!$H38*IF(LEFT($B42,9)="Baltic C5",U$4,U$5)</f>
        <v>22.968</v>
      </c>
      <c r="V42" s="37">
        <f>Assumptions!$H38*IF(LEFT($B42,9)="Baltic C5",V$4,V$5)</f>
        <v>21.582000000000001</v>
      </c>
      <c r="W42" s="37">
        <f>Assumptions!$H38*IF(LEFT($B42,9)="Baltic C5",W$4,W$5)</f>
        <v>21.977999999999998</v>
      </c>
      <c r="X42" s="37">
        <f>Assumptions!$H38*IF(LEFT($B42,9)="Baltic C5",X$4,X$5)</f>
        <v>22.472999999999999</v>
      </c>
      <c r="Y42" s="37">
        <f>Assumptions!$H38*IF(LEFT($B42,9)="Baltic C5",Y$4,Y$5)</f>
        <v>22.869</v>
      </c>
      <c r="Z42" s="37">
        <f>Assumptions!$H38*IF(LEFT($B42,9)="Baltic C5",Z$4,Z$5)</f>
        <v>23.364000000000001</v>
      </c>
      <c r="AA42" s="37">
        <f>Assumptions!$H38*IF(LEFT($B42,9)="Baltic C5",AA$4,AA$5)</f>
        <v>23.859000000000002</v>
      </c>
      <c r="AB42" s="37">
        <f>Assumptions!$H38*IF(LEFT($B42,9)="Baltic C5",AB$4,AB$5)</f>
        <v>24.354000000000003</v>
      </c>
    </row>
    <row r="43" spans="1:28" x14ac:dyDescent="0.2">
      <c r="A43" s="7" t="s">
        <v>120</v>
      </c>
      <c r="B43" s="7" t="s">
        <v>345</v>
      </c>
      <c r="C43" s="37">
        <f>Assumptions!$H39*IF(LEFT($B43,9)="Baltic C5",C$4,C$5)</f>
        <v>25.937999999999999</v>
      </c>
      <c r="D43" s="37">
        <f>Assumptions!$H39*IF(LEFT($B43,9)="Baltic C5",D$4,D$5)</f>
        <v>22.274999999999999</v>
      </c>
      <c r="E43" s="37">
        <f>Assumptions!$H39*IF(LEFT($B43,9)="Baltic C5",E$4,E$5)</f>
        <v>19.503</v>
      </c>
      <c r="F43" s="37">
        <f>Assumptions!$H39*IF(LEFT($B43,9)="Baltic C5",F$4,F$5)</f>
        <v>20.889000000000003</v>
      </c>
      <c r="G43" s="37">
        <f>Assumptions!$H39*IF(LEFT($B43,9)="Baltic C5",G$4,G$5)</f>
        <v>20.394000000000002</v>
      </c>
      <c r="H43" s="37">
        <f>Assumptions!$H39*IF(LEFT($B43,9)="Baltic C5",H$4,H$5)</f>
        <v>11.087999999999999</v>
      </c>
      <c r="I43" s="37">
        <f>Assumptions!$H39*IF(LEFT($B43,9)="Baltic C5",I$4,I$5)</f>
        <v>9.0090000000000003</v>
      </c>
      <c r="J43" s="37">
        <f>Assumptions!$H39*IF(LEFT($B43,9)="Baltic C5",J$4,J$5)</f>
        <v>15.048</v>
      </c>
      <c r="K43" s="37">
        <f>Assumptions!$H39*IF(LEFT($B43,9)="Baltic C5",K$4,K$5)</f>
        <v>18.215999999999998</v>
      </c>
      <c r="L43" s="37">
        <f>Assumptions!$H39*IF(LEFT($B43,9)="Baltic C5",L$4,L$5)</f>
        <v>18.414000000000001</v>
      </c>
      <c r="M43" s="37">
        <f>Assumptions!$H39*IF(LEFT($B43,9)="Baltic C5",M$4,M$5)</f>
        <v>14.652000000000001</v>
      </c>
      <c r="N43" s="37">
        <f>Assumptions!$H39*IF(LEFT($B43,9)="Baltic C5",N$4,N$5)</f>
        <v>26.433</v>
      </c>
      <c r="O43" s="37">
        <f>Assumptions!$H39*IF(LEFT($B43,9)="Baltic C5",O$4,O$5)</f>
        <v>23.759999999999998</v>
      </c>
      <c r="P43" s="37">
        <f>Assumptions!$H39*IF(LEFT($B43,9)="Baltic C5",P$4,P$5)</f>
        <v>20.79</v>
      </c>
      <c r="Q43" s="37">
        <f>Assumptions!$H39*IF(LEFT($B43,9)="Baltic C5",Q$4,Q$5)</f>
        <v>24.75</v>
      </c>
      <c r="R43" s="37">
        <f>Assumptions!$H39*IF(LEFT($B43,9)="Baltic C5",R$4,R$5)</f>
        <v>21.680999999999997</v>
      </c>
      <c r="S43" s="37">
        <f>Assumptions!$H39*IF(LEFT($B43,9)="Baltic C5",S$4,S$5)</f>
        <v>30.69</v>
      </c>
      <c r="T43" s="37">
        <f>Assumptions!$H39*IF(LEFT($B43,9)="Baltic C5",T$4,T$5)</f>
        <v>25.245000000000001</v>
      </c>
      <c r="U43" s="37">
        <f>Assumptions!$H39*IF(LEFT($B43,9)="Baltic C5",U$4,U$5)</f>
        <v>22.968</v>
      </c>
      <c r="V43" s="37">
        <f>Assumptions!$H39*IF(LEFT($B43,9)="Baltic C5",V$4,V$5)</f>
        <v>21.582000000000001</v>
      </c>
      <c r="W43" s="37">
        <f>Assumptions!$H39*IF(LEFT($B43,9)="Baltic C5",W$4,W$5)</f>
        <v>21.977999999999998</v>
      </c>
      <c r="X43" s="37">
        <f>Assumptions!$H39*IF(LEFT($B43,9)="Baltic C5",X$4,X$5)</f>
        <v>22.472999999999999</v>
      </c>
      <c r="Y43" s="37">
        <f>Assumptions!$H39*IF(LEFT($B43,9)="Baltic C5",Y$4,Y$5)</f>
        <v>22.869</v>
      </c>
      <c r="Z43" s="37">
        <f>Assumptions!$H39*IF(LEFT($B43,9)="Baltic C5",Z$4,Z$5)</f>
        <v>23.364000000000001</v>
      </c>
      <c r="AA43" s="37">
        <f>Assumptions!$H39*IF(LEFT($B43,9)="Baltic C5",AA$4,AA$5)</f>
        <v>23.859000000000002</v>
      </c>
      <c r="AB43" s="37">
        <f>Assumptions!$H39*IF(LEFT($B43,9)="Baltic C5",AB$4,AB$5)</f>
        <v>24.354000000000003</v>
      </c>
    </row>
    <row r="44" spans="1:28" x14ac:dyDescent="0.2">
      <c r="A44" s="7" t="s">
        <v>217</v>
      </c>
      <c r="B44" s="7" t="s">
        <v>352</v>
      </c>
      <c r="C44" s="37">
        <f>Assumptions!$H40*IF(LEFT($B44,9)="Baltic C5",C$4,C$5)</f>
        <v>23.58</v>
      </c>
      <c r="D44" s="37">
        <f>Assumptions!$H40*IF(LEFT($B44,9)="Baltic C5",D$4,D$5)</f>
        <v>20.25</v>
      </c>
      <c r="E44" s="37">
        <f>Assumptions!$H40*IF(LEFT($B44,9)="Baltic C5",E$4,E$5)</f>
        <v>17.73</v>
      </c>
      <c r="F44" s="37">
        <f>Assumptions!$H40*IF(LEFT($B44,9)="Baltic C5",F$4,F$5)</f>
        <v>18.990000000000002</v>
      </c>
      <c r="G44" s="37">
        <f>Assumptions!$H40*IF(LEFT($B44,9)="Baltic C5",G$4,G$5)</f>
        <v>18.540000000000003</v>
      </c>
      <c r="H44" s="37">
        <f>Assumptions!$H40*IF(LEFT($B44,9)="Baltic C5",H$4,H$5)</f>
        <v>10.08</v>
      </c>
      <c r="I44" s="37">
        <f>Assumptions!$H40*IF(LEFT($B44,9)="Baltic C5",I$4,I$5)</f>
        <v>8.19</v>
      </c>
      <c r="J44" s="37">
        <f>Assumptions!$H40*IF(LEFT($B44,9)="Baltic C5",J$4,J$5)</f>
        <v>13.68</v>
      </c>
      <c r="K44" s="37">
        <f>Assumptions!$H40*IF(LEFT($B44,9)="Baltic C5",K$4,K$5)</f>
        <v>16.559999999999999</v>
      </c>
      <c r="L44" s="37">
        <f>Assumptions!$H40*IF(LEFT($B44,9)="Baltic C5",L$4,L$5)</f>
        <v>16.740000000000002</v>
      </c>
      <c r="M44" s="37">
        <f>Assumptions!$H40*IF(LEFT($B44,9)="Baltic C5",M$4,M$5)</f>
        <v>13.32</v>
      </c>
      <c r="N44" s="37">
        <f>Assumptions!$H40*IF(LEFT($B44,9)="Baltic C5",N$4,N$5)</f>
        <v>24.03</v>
      </c>
      <c r="O44" s="37">
        <f>Assumptions!$H40*IF(LEFT($B44,9)="Baltic C5",O$4,O$5)</f>
        <v>21.6</v>
      </c>
      <c r="P44" s="37">
        <f>Assumptions!$H40*IF(LEFT($B44,9)="Baltic C5",P$4,P$5)</f>
        <v>18.900000000000002</v>
      </c>
      <c r="Q44" s="37">
        <f>Assumptions!$H40*IF(LEFT($B44,9)="Baltic C5",Q$4,Q$5)</f>
        <v>22.5</v>
      </c>
      <c r="R44" s="37">
        <f>Assumptions!$H40*IF(LEFT($B44,9)="Baltic C5",R$4,R$5)</f>
        <v>19.71</v>
      </c>
      <c r="S44" s="37">
        <f>Assumptions!$H40*IF(LEFT($B44,9)="Baltic C5",S$4,S$5)</f>
        <v>27.900000000000002</v>
      </c>
      <c r="T44" s="37">
        <f>Assumptions!$H40*IF(LEFT($B44,9)="Baltic C5",T$4,T$5)</f>
        <v>22.95</v>
      </c>
      <c r="U44" s="37">
        <f>Assumptions!$H40*IF(LEFT($B44,9)="Baltic C5",U$4,U$5)</f>
        <v>20.88</v>
      </c>
      <c r="V44" s="37">
        <f>Assumptions!$H40*IF(LEFT($B44,9)="Baltic C5",V$4,V$5)</f>
        <v>19.62</v>
      </c>
      <c r="W44" s="37">
        <f>Assumptions!$H40*IF(LEFT($B44,9)="Baltic C5",W$4,W$5)</f>
        <v>19.98</v>
      </c>
      <c r="X44" s="37">
        <f>Assumptions!$H40*IF(LEFT($B44,9)="Baltic C5",X$4,X$5)</f>
        <v>20.43</v>
      </c>
      <c r="Y44" s="37">
        <f>Assumptions!$H40*IF(LEFT($B44,9)="Baltic C5",Y$4,Y$5)</f>
        <v>20.790000000000003</v>
      </c>
      <c r="Z44" s="37">
        <f>Assumptions!$H40*IF(LEFT($B44,9)="Baltic C5",Z$4,Z$5)</f>
        <v>21.240000000000002</v>
      </c>
      <c r="AA44" s="37">
        <f>Assumptions!$H40*IF(LEFT($B44,9)="Baltic C5",AA$4,AA$5)</f>
        <v>21.69</v>
      </c>
      <c r="AB44" s="37">
        <f>Assumptions!$H40*IF(LEFT($B44,9)="Baltic C5",AB$4,AB$5)</f>
        <v>22.14</v>
      </c>
    </row>
    <row r="45" spans="1:28" x14ac:dyDescent="0.2">
      <c r="A45" s="7" t="s">
        <v>225</v>
      </c>
      <c r="B45" s="7" t="s">
        <v>353</v>
      </c>
      <c r="C45" s="37">
        <f>Assumptions!$H41*IF(LEFT($B45,9)="Baltic C5",C$4,C$5)</f>
        <v>23.318000000000001</v>
      </c>
      <c r="D45" s="37">
        <f>Assumptions!$H41*IF(LEFT($B45,9)="Baltic C5",D$4,D$5)</f>
        <v>20.024999999999999</v>
      </c>
      <c r="E45" s="37">
        <f>Assumptions!$H41*IF(LEFT($B45,9)="Baltic C5",E$4,E$5)</f>
        <v>17.533000000000001</v>
      </c>
      <c r="F45" s="37">
        <f>Assumptions!$H41*IF(LEFT($B45,9)="Baltic C5",F$4,F$5)</f>
        <v>18.779</v>
      </c>
      <c r="G45" s="37">
        <f>Assumptions!$H41*IF(LEFT($B45,9)="Baltic C5",G$4,G$5)</f>
        <v>18.334000000000003</v>
      </c>
      <c r="H45" s="37">
        <f>Assumptions!$H41*IF(LEFT($B45,9)="Baltic C5",H$4,H$5)</f>
        <v>9.968</v>
      </c>
      <c r="I45" s="37">
        <f>Assumptions!$H41*IF(LEFT($B45,9)="Baltic C5",I$4,I$5)</f>
        <v>8.0990000000000002</v>
      </c>
      <c r="J45" s="37">
        <f>Assumptions!$H41*IF(LEFT($B45,9)="Baltic C5",J$4,J$5)</f>
        <v>13.527999999999999</v>
      </c>
      <c r="K45" s="37">
        <f>Assumptions!$H41*IF(LEFT($B45,9)="Baltic C5",K$4,K$5)</f>
        <v>16.375999999999998</v>
      </c>
      <c r="L45" s="37">
        <f>Assumptions!$H41*IF(LEFT($B45,9)="Baltic C5",L$4,L$5)</f>
        <v>16.554000000000002</v>
      </c>
      <c r="M45" s="37">
        <f>Assumptions!$H41*IF(LEFT($B45,9)="Baltic C5",M$4,M$5)</f>
        <v>13.172000000000001</v>
      </c>
      <c r="N45" s="37">
        <f>Assumptions!$H41*IF(LEFT($B45,9)="Baltic C5",N$4,N$5)</f>
        <v>23.762999999999998</v>
      </c>
      <c r="O45" s="37">
        <f>Assumptions!$H41*IF(LEFT($B45,9)="Baltic C5",O$4,O$5)</f>
        <v>21.36</v>
      </c>
      <c r="P45" s="37">
        <f>Assumptions!$H41*IF(LEFT($B45,9)="Baltic C5",P$4,P$5)</f>
        <v>18.690000000000001</v>
      </c>
      <c r="Q45" s="37">
        <f>Assumptions!$H41*IF(LEFT($B45,9)="Baltic C5",Q$4,Q$5)</f>
        <v>22.25</v>
      </c>
      <c r="R45" s="37">
        <f>Assumptions!$H41*IF(LEFT($B45,9)="Baltic C5",R$4,R$5)</f>
        <v>19.491</v>
      </c>
      <c r="S45" s="37">
        <f>Assumptions!$H41*IF(LEFT($B45,9)="Baltic C5",S$4,S$5)</f>
        <v>27.59</v>
      </c>
      <c r="T45" s="37">
        <f>Assumptions!$H41*IF(LEFT($B45,9)="Baltic C5",T$4,T$5)</f>
        <v>22.695</v>
      </c>
      <c r="U45" s="37">
        <f>Assumptions!$H41*IF(LEFT($B45,9)="Baltic C5",U$4,U$5)</f>
        <v>20.648</v>
      </c>
      <c r="V45" s="37">
        <f>Assumptions!$H41*IF(LEFT($B45,9)="Baltic C5",V$4,V$5)</f>
        <v>19.402000000000001</v>
      </c>
      <c r="W45" s="37">
        <f>Assumptions!$H41*IF(LEFT($B45,9)="Baltic C5",W$4,W$5)</f>
        <v>19.757999999999999</v>
      </c>
      <c r="X45" s="37">
        <f>Assumptions!$H41*IF(LEFT($B45,9)="Baltic C5",X$4,X$5)</f>
        <v>20.202999999999999</v>
      </c>
      <c r="Y45" s="37">
        <f>Assumptions!$H41*IF(LEFT($B45,9)="Baltic C5",Y$4,Y$5)</f>
        <v>20.559000000000001</v>
      </c>
      <c r="Z45" s="37">
        <f>Assumptions!$H41*IF(LEFT($B45,9)="Baltic C5",Z$4,Z$5)</f>
        <v>21.004000000000001</v>
      </c>
      <c r="AA45" s="37">
        <f>Assumptions!$H41*IF(LEFT($B45,9)="Baltic C5",AA$4,AA$5)</f>
        <v>21.449000000000002</v>
      </c>
      <c r="AB45" s="37">
        <f>Assumptions!$H41*IF(LEFT($B45,9)="Baltic C5",AB$4,AB$5)</f>
        <v>21.894000000000002</v>
      </c>
    </row>
    <row r="46" spans="1:28" x14ac:dyDescent="0.2">
      <c r="A46" s="7" t="s">
        <v>220</v>
      </c>
      <c r="B46" s="7" t="s">
        <v>352</v>
      </c>
      <c r="C46" s="37">
        <f>Assumptions!$H42*IF(LEFT($B46,9)="Baltic C5",C$4,C$5)</f>
        <v>23.58</v>
      </c>
      <c r="D46" s="37">
        <f>Assumptions!$H42*IF(LEFT($B46,9)="Baltic C5",D$4,D$5)</f>
        <v>20.25</v>
      </c>
      <c r="E46" s="37">
        <f>Assumptions!$H42*IF(LEFT($B46,9)="Baltic C5",E$4,E$5)</f>
        <v>17.73</v>
      </c>
      <c r="F46" s="37">
        <f>Assumptions!$H42*IF(LEFT($B46,9)="Baltic C5",F$4,F$5)</f>
        <v>18.990000000000002</v>
      </c>
      <c r="G46" s="37">
        <f>Assumptions!$H42*IF(LEFT($B46,9)="Baltic C5",G$4,G$5)</f>
        <v>18.540000000000003</v>
      </c>
      <c r="H46" s="37">
        <f>Assumptions!$H42*IF(LEFT($B46,9)="Baltic C5",H$4,H$5)</f>
        <v>10.08</v>
      </c>
      <c r="I46" s="37">
        <f>Assumptions!$H42*IF(LEFT($B46,9)="Baltic C5",I$4,I$5)</f>
        <v>8.19</v>
      </c>
      <c r="J46" s="37">
        <f>Assumptions!$H42*IF(LEFT($B46,9)="Baltic C5",J$4,J$5)</f>
        <v>13.68</v>
      </c>
      <c r="K46" s="37">
        <f>Assumptions!$H42*IF(LEFT($B46,9)="Baltic C5",K$4,K$5)</f>
        <v>16.559999999999999</v>
      </c>
      <c r="L46" s="37">
        <f>Assumptions!$H42*IF(LEFT($B46,9)="Baltic C5",L$4,L$5)</f>
        <v>16.740000000000002</v>
      </c>
      <c r="M46" s="37">
        <f>Assumptions!$H42*IF(LEFT($B46,9)="Baltic C5",M$4,M$5)</f>
        <v>13.32</v>
      </c>
      <c r="N46" s="37">
        <f>Assumptions!$H42*IF(LEFT($B46,9)="Baltic C5",N$4,N$5)</f>
        <v>24.03</v>
      </c>
      <c r="O46" s="37">
        <f>Assumptions!$H42*IF(LEFT($B46,9)="Baltic C5",O$4,O$5)</f>
        <v>21.6</v>
      </c>
      <c r="P46" s="37">
        <f>Assumptions!$H42*IF(LEFT($B46,9)="Baltic C5",P$4,P$5)</f>
        <v>18.900000000000002</v>
      </c>
      <c r="Q46" s="37">
        <f>Assumptions!$H42*IF(LEFT($B46,9)="Baltic C5",Q$4,Q$5)</f>
        <v>22.5</v>
      </c>
      <c r="R46" s="37">
        <f>Assumptions!$H42*IF(LEFT($B46,9)="Baltic C5",R$4,R$5)</f>
        <v>19.71</v>
      </c>
      <c r="S46" s="37">
        <f>Assumptions!$H42*IF(LEFT($B46,9)="Baltic C5",S$4,S$5)</f>
        <v>27.900000000000002</v>
      </c>
      <c r="T46" s="37">
        <f>Assumptions!$H42*IF(LEFT($B46,9)="Baltic C5",T$4,T$5)</f>
        <v>22.95</v>
      </c>
      <c r="U46" s="37">
        <f>Assumptions!$H42*IF(LEFT($B46,9)="Baltic C5",U$4,U$5)</f>
        <v>20.88</v>
      </c>
      <c r="V46" s="37">
        <f>Assumptions!$H42*IF(LEFT($B46,9)="Baltic C5",V$4,V$5)</f>
        <v>19.62</v>
      </c>
      <c r="W46" s="37">
        <f>Assumptions!$H42*IF(LEFT($B46,9)="Baltic C5",W$4,W$5)</f>
        <v>19.98</v>
      </c>
      <c r="X46" s="37">
        <f>Assumptions!$H42*IF(LEFT($B46,9)="Baltic C5",X$4,X$5)</f>
        <v>20.43</v>
      </c>
      <c r="Y46" s="37">
        <f>Assumptions!$H42*IF(LEFT($B46,9)="Baltic C5",Y$4,Y$5)</f>
        <v>20.790000000000003</v>
      </c>
      <c r="Z46" s="37">
        <f>Assumptions!$H42*IF(LEFT($B46,9)="Baltic C5",Z$4,Z$5)</f>
        <v>21.240000000000002</v>
      </c>
      <c r="AA46" s="37">
        <f>Assumptions!$H42*IF(LEFT($B46,9)="Baltic C5",AA$4,AA$5)</f>
        <v>21.69</v>
      </c>
      <c r="AB46" s="37">
        <f>Assumptions!$H42*IF(LEFT($B46,9)="Baltic C5",AB$4,AB$5)</f>
        <v>22.14</v>
      </c>
    </row>
    <row r="47" spans="1:28" x14ac:dyDescent="0.2">
      <c r="A47" s="7" t="s">
        <v>127</v>
      </c>
      <c r="B47" s="7" t="s">
        <v>354</v>
      </c>
      <c r="C47" s="37">
        <f>Assumptions!$H43*IF(LEFT($B47,9)="Baltic C5",C$4,C$5)</f>
        <v>10.816000000000001</v>
      </c>
      <c r="D47" s="37">
        <f>Assumptions!$H43*IF(LEFT($B47,9)="Baltic C5",D$4,D$5)</f>
        <v>9.4640000000000004</v>
      </c>
      <c r="E47" s="37">
        <f>Assumptions!$H43*IF(LEFT($B47,9)="Baltic C5",E$4,E$5)</f>
        <v>8.1120000000000001</v>
      </c>
      <c r="F47" s="37">
        <f>Assumptions!$H43*IF(LEFT($B47,9)="Baltic C5",F$4,F$5)</f>
        <v>9.152000000000001</v>
      </c>
      <c r="G47" s="37">
        <f>Assumptions!$H43*IF(LEFT($B47,9)="Baltic C5",G$4,G$5)</f>
        <v>8.4239999999999995</v>
      </c>
      <c r="H47" s="37">
        <f>Assumptions!$H43*IF(LEFT($B47,9)="Baltic C5",H$4,H$5)</f>
        <v>5.096000000000001</v>
      </c>
      <c r="I47" s="37">
        <f>Assumptions!$H43*IF(LEFT($B47,9)="Baltic C5",I$4,I$5)</f>
        <v>4.68</v>
      </c>
      <c r="J47" s="37">
        <f>Assumptions!$H43*IF(LEFT($B47,9)="Baltic C5",J$4,J$5)</f>
        <v>7.0720000000000001</v>
      </c>
      <c r="K47" s="37">
        <f>Assumptions!$H43*IF(LEFT($B47,9)="Baltic C5",K$4,K$5)</f>
        <v>7.9039999999999999</v>
      </c>
      <c r="L47" s="37">
        <f>Assumptions!$H43*IF(LEFT($B47,9)="Baltic C5",L$4,L$5)</f>
        <v>8.0080000000000009</v>
      </c>
      <c r="M47" s="37">
        <f>Assumptions!$H43*IF(LEFT($B47,9)="Baltic C5",M$4,M$5)</f>
        <v>6.9680000000000009</v>
      </c>
      <c r="N47" s="37">
        <f>Assumptions!$H43*IF(LEFT($B47,9)="Baltic C5",N$4,N$5)</f>
        <v>12.584</v>
      </c>
      <c r="O47" s="37">
        <f>Assumptions!$H43*IF(LEFT($B47,9)="Baltic C5",O$4,O$5)</f>
        <v>10.296000000000001</v>
      </c>
      <c r="P47" s="37">
        <f>Assumptions!$H43*IF(LEFT($B47,9)="Baltic C5",P$4,P$5)</f>
        <v>9.048</v>
      </c>
      <c r="Q47" s="37">
        <f>Assumptions!$H43*IF(LEFT($B47,9)="Baltic C5",Q$4,Q$5)</f>
        <v>10.504</v>
      </c>
      <c r="R47" s="37">
        <f>Assumptions!$H43*IF(LEFT($B47,9)="Baltic C5",R$4,R$5)</f>
        <v>9.4640000000000004</v>
      </c>
      <c r="S47" s="37">
        <f>Assumptions!$H43*IF(LEFT($B47,9)="Baltic C5",S$4,S$5)</f>
        <v>13</v>
      </c>
      <c r="T47" s="37">
        <f>Assumptions!$H43*IF(LEFT($B47,9)="Baltic C5",T$4,T$5)</f>
        <v>11.232000000000001</v>
      </c>
      <c r="U47" s="37">
        <f>Assumptions!$H43*IF(LEFT($B47,9)="Baltic C5",U$4,U$5)</f>
        <v>10.607999999999999</v>
      </c>
      <c r="V47" s="37">
        <f>Assumptions!$H43*IF(LEFT($B47,9)="Baltic C5",V$4,V$5)</f>
        <v>10.192000000000002</v>
      </c>
      <c r="W47" s="37">
        <f>Assumptions!$H43*IF(LEFT($B47,9)="Baltic C5",W$4,W$5)</f>
        <v>10.4</v>
      </c>
      <c r="X47" s="37">
        <f>Assumptions!$H43*IF(LEFT($B47,9)="Baltic C5",X$4,X$5)</f>
        <v>10.607999999999999</v>
      </c>
      <c r="Y47" s="37">
        <f>Assumptions!$H43*IF(LEFT($B47,9)="Baltic C5",Y$4,Y$5)</f>
        <v>10.816000000000001</v>
      </c>
      <c r="Z47" s="37">
        <f>Assumptions!$H43*IF(LEFT($B47,9)="Baltic C5",Z$4,Z$5)</f>
        <v>11.023999999999999</v>
      </c>
      <c r="AA47" s="37">
        <f>Assumptions!$H43*IF(LEFT($B47,9)="Baltic C5",AA$4,AA$5)</f>
        <v>11.232000000000001</v>
      </c>
      <c r="AB47" s="37">
        <f>Assumptions!$H43*IF(LEFT($B47,9)="Baltic C5",AB$4,AB$5)</f>
        <v>11.440000000000001</v>
      </c>
    </row>
    <row r="48" spans="1:28" x14ac:dyDescent="0.2">
      <c r="A48" s="7" t="s">
        <v>130</v>
      </c>
      <c r="B48" s="7" t="s">
        <v>355</v>
      </c>
      <c r="C48" s="37">
        <f>Assumptions!$H44*IF(LEFT($B48,9)="Baltic C5",C$4,C$5)</f>
        <v>16.016000000000002</v>
      </c>
      <c r="D48" s="37">
        <f>Assumptions!$H44*IF(LEFT($B48,9)="Baltic C5",D$4,D$5)</f>
        <v>14.013999999999999</v>
      </c>
      <c r="E48" s="37">
        <f>Assumptions!$H44*IF(LEFT($B48,9)="Baltic C5",E$4,E$5)</f>
        <v>12.012</v>
      </c>
      <c r="F48" s="37">
        <f>Assumptions!$H44*IF(LEFT($B48,9)="Baltic C5",F$4,F$5)</f>
        <v>13.552000000000001</v>
      </c>
      <c r="G48" s="37">
        <f>Assumptions!$H44*IF(LEFT($B48,9)="Baltic C5",G$4,G$5)</f>
        <v>12.474</v>
      </c>
      <c r="H48" s="37">
        <f>Assumptions!$H44*IF(LEFT($B48,9)="Baltic C5",H$4,H$5)</f>
        <v>7.5460000000000012</v>
      </c>
      <c r="I48" s="37">
        <f>Assumptions!$H44*IF(LEFT($B48,9)="Baltic C5",I$4,I$5)</f>
        <v>6.93</v>
      </c>
      <c r="J48" s="37">
        <f>Assumptions!$H44*IF(LEFT($B48,9)="Baltic C5",J$4,J$5)</f>
        <v>10.472</v>
      </c>
      <c r="K48" s="37">
        <f>Assumptions!$H44*IF(LEFT($B48,9)="Baltic C5",K$4,K$5)</f>
        <v>11.703999999999999</v>
      </c>
      <c r="L48" s="37">
        <f>Assumptions!$H44*IF(LEFT($B48,9)="Baltic C5",L$4,L$5)</f>
        <v>11.858000000000001</v>
      </c>
      <c r="M48" s="37">
        <f>Assumptions!$H44*IF(LEFT($B48,9)="Baltic C5",M$4,M$5)</f>
        <v>10.318000000000001</v>
      </c>
      <c r="N48" s="37">
        <f>Assumptions!$H44*IF(LEFT($B48,9)="Baltic C5",N$4,N$5)</f>
        <v>18.634</v>
      </c>
      <c r="O48" s="37">
        <f>Assumptions!$H44*IF(LEFT($B48,9)="Baltic C5",O$4,O$5)</f>
        <v>15.246</v>
      </c>
      <c r="P48" s="37">
        <f>Assumptions!$H44*IF(LEFT($B48,9)="Baltic C5",P$4,P$5)</f>
        <v>13.398</v>
      </c>
      <c r="Q48" s="37">
        <f>Assumptions!$H44*IF(LEFT($B48,9)="Baltic C5",Q$4,Q$5)</f>
        <v>15.554</v>
      </c>
      <c r="R48" s="37">
        <f>Assumptions!$H44*IF(LEFT($B48,9)="Baltic C5",R$4,R$5)</f>
        <v>14.013999999999999</v>
      </c>
      <c r="S48" s="37">
        <f>Assumptions!$H44*IF(LEFT($B48,9)="Baltic C5",S$4,S$5)</f>
        <v>19.25</v>
      </c>
      <c r="T48" s="37">
        <f>Assumptions!$H44*IF(LEFT($B48,9)="Baltic C5",T$4,T$5)</f>
        <v>16.632000000000001</v>
      </c>
      <c r="U48" s="37">
        <f>Assumptions!$H44*IF(LEFT($B48,9)="Baltic C5",U$4,U$5)</f>
        <v>15.707999999999998</v>
      </c>
      <c r="V48" s="37">
        <f>Assumptions!$H44*IF(LEFT($B48,9)="Baltic C5",V$4,V$5)</f>
        <v>15.092000000000002</v>
      </c>
      <c r="W48" s="37">
        <f>Assumptions!$H44*IF(LEFT($B48,9)="Baltic C5",W$4,W$5)</f>
        <v>15.4</v>
      </c>
      <c r="X48" s="37">
        <f>Assumptions!$H44*IF(LEFT($B48,9)="Baltic C5",X$4,X$5)</f>
        <v>15.707999999999998</v>
      </c>
      <c r="Y48" s="37">
        <f>Assumptions!$H44*IF(LEFT($B48,9)="Baltic C5",Y$4,Y$5)</f>
        <v>16.016000000000002</v>
      </c>
      <c r="Z48" s="37">
        <f>Assumptions!$H44*IF(LEFT($B48,9)="Baltic C5",Z$4,Z$5)</f>
        <v>16.323999999999998</v>
      </c>
      <c r="AA48" s="37">
        <f>Assumptions!$H44*IF(LEFT($B48,9)="Baltic C5",AA$4,AA$5)</f>
        <v>16.632000000000001</v>
      </c>
      <c r="AB48" s="37">
        <f>Assumptions!$H44*IF(LEFT($B48,9)="Baltic C5",AB$4,AB$5)</f>
        <v>16.940000000000001</v>
      </c>
    </row>
    <row r="49" spans="1:28" x14ac:dyDescent="0.2">
      <c r="A49" s="7" t="s">
        <v>249</v>
      </c>
      <c r="B49" s="7" t="s">
        <v>342</v>
      </c>
      <c r="C49" s="37">
        <f>Assumptions!$H45*IF(LEFT($B49,9)="Baltic C5",C$4,C$5)</f>
        <v>26.462</v>
      </c>
      <c r="D49" s="37">
        <f>Assumptions!$H45*IF(LEFT($B49,9)="Baltic C5",D$4,D$5)</f>
        <v>22.725000000000001</v>
      </c>
      <c r="E49" s="37">
        <f>Assumptions!$H45*IF(LEFT($B49,9)="Baltic C5",E$4,E$5)</f>
        <v>19.896999999999998</v>
      </c>
      <c r="F49" s="37">
        <f>Assumptions!$H45*IF(LEFT($B49,9)="Baltic C5",F$4,F$5)</f>
        <v>21.311</v>
      </c>
      <c r="G49" s="37">
        <f>Assumptions!$H45*IF(LEFT($B49,9)="Baltic C5",G$4,G$5)</f>
        <v>20.806000000000001</v>
      </c>
      <c r="H49" s="37">
        <f>Assumptions!$H45*IF(LEFT($B49,9)="Baltic C5",H$4,H$5)</f>
        <v>11.311999999999999</v>
      </c>
      <c r="I49" s="37">
        <f>Assumptions!$H45*IF(LEFT($B49,9)="Baltic C5",I$4,I$5)</f>
        <v>9.1909999999999989</v>
      </c>
      <c r="J49" s="37">
        <f>Assumptions!$H45*IF(LEFT($B49,9)="Baltic C5",J$4,J$5)</f>
        <v>15.351999999999999</v>
      </c>
      <c r="K49" s="37">
        <f>Assumptions!$H45*IF(LEFT($B49,9)="Baltic C5",K$4,K$5)</f>
        <v>18.584</v>
      </c>
      <c r="L49" s="37">
        <f>Assumptions!$H45*IF(LEFT($B49,9)="Baltic C5",L$4,L$5)</f>
        <v>18.786000000000001</v>
      </c>
      <c r="M49" s="37">
        <f>Assumptions!$H45*IF(LEFT($B49,9)="Baltic C5",M$4,M$5)</f>
        <v>14.948</v>
      </c>
      <c r="N49" s="37">
        <f>Assumptions!$H45*IF(LEFT($B49,9)="Baltic C5",N$4,N$5)</f>
        <v>26.966999999999999</v>
      </c>
      <c r="O49" s="37">
        <f>Assumptions!$H45*IF(LEFT($B49,9)="Baltic C5",O$4,O$5)</f>
        <v>24.240000000000002</v>
      </c>
      <c r="P49" s="37">
        <f>Assumptions!$H45*IF(LEFT($B49,9)="Baltic C5",P$4,P$5)</f>
        <v>21.21</v>
      </c>
      <c r="Q49" s="37">
        <f>Assumptions!$H45*IF(LEFT($B49,9)="Baltic C5",Q$4,Q$5)</f>
        <v>25.25</v>
      </c>
      <c r="R49" s="37">
        <f>Assumptions!$H45*IF(LEFT($B49,9)="Baltic C5",R$4,R$5)</f>
        <v>22.119</v>
      </c>
      <c r="S49" s="37">
        <f>Assumptions!$H45*IF(LEFT($B49,9)="Baltic C5",S$4,S$5)</f>
        <v>31.31</v>
      </c>
      <c r="T49" s="37">
        <f>Assumptions!$H45*IF(LEFT($B49,9)="Baltic C5",T$4,T$5)</f>
        <v>25.754999999999999</v>
      </c>
      <c r="U49" s="37">
        <f>Assumptions!$H45*IF(LEFT($B49,9)="Baltic C5",U$4,U$5)</f>
        <v>23.431999999999999</v>
      </c>
      <c r="V49" s="37">
        <f>Assumptions!$H45*IF(LEFT($B49,9)="Baltic C5",V$4,V$5)</f>
        <v>22.018000000000001</v>
      </c>
      <c r="W49" s="37">
        <f>Assumptions!$H45*IF(LEFT($B49,9)="Baltic C5",W$4,W$5)</f>
        <v>22.422000000000001</v>
      </c>
      <c r="X49" s="37">
        <f>Assumptions!$H45*IF(LEFT($B49,9)="Baltic C5",X$4,X$5)</f>
        <v>22.927</v>
      </c>
      <c r="Y49" s="37">
        <f>Assumptions!$H45*IF(LEFT($B49,9)="Baltic C5",Y$4,Y$5)</f>
        <v>23.331000000000003</v>
      </c>
      <c r="Z49" s="37">
        <f>Assumptions!$H45*IF(LEFT($B49,9)="Baltic C5",Z$4,Z$5)</f>
        <v>23.836000000000002</v>
      </c>
      <c r="AA49" s="37">
        <f>Assumptions!$H45*IF(LEFT($B49,9)="Baltic C5",AA$4,AA$5)</f>
        <v>24.341000000000001</v>
      </c>
      <c r="AB49" s="37">
        <f>Assumptions!$H45*IF(LEFT($B49,9)="Baltic C5",AB$4,AB$5)</f>
        <v>24.846</v>
      </c>
    </row>
    <row r="50" spans="1:28" x14ac:dyDescent="0.2">
      <c r="A50" s="7" t="s">
        <v>250</v>
      </c>
      <c r="B50" s="7" t="s">
        <v>342</v>
      </c>
      <c r="C50" s="37">
        <f>Assumptions!$H46*IF(LEFT($B50,9)="Baltic C5",C$4,C$5)</f>
        <v>26.462</v>
      </c>
      <c r="D50" s="37">
        <f>Assumptions!$H46*IF(LEFT($B50,9)="Baltic C5",D$4,D$5)</f>
        <v>22.725000000000001</v>
      </c>
      <c r="E50" s="37">
        <f>Assumptions!$H46*IF(LEFT($B50,9)="Baltic C5",E$4,E$5)</f>
        <v>19.896999999999998</v>
      </c>
      <c r="F50" s="37">
        <f>Assumptions!$H46*IF(LEFT($B50,9)="Baltic C5",F$4,F$5)</f>
        <v>21.311</v>
      </c>
      <c r="G50" s="37">
        <f>Assumptions!$H46*IF(LEFT($B50,9)="Baltic C5",G$4,G$5)</f>
        <v>20.806000000000001</v>
      </c>
      <c r="H50" s="37">
        <f>Assumptions!$H46*IF(LEFT($B50,9)="Baltic C5",H$4,H$5)</f>
        <v>11.311999999999999</v>
      </c>
      <c r="I50" s="37">
        <f>Assumptions!$H46*IF(LEFT($B50,9)="Baltic C5",I$4,I$5)</f>
        <v>9.1909999999999989</v>
      </c>
      <c r="J50" s="37">
        <f>Assumptions!$H46*IF(LEFT($B50,9)="Baltic C5",J$4,J$5)</f>
        <v>15.351999999999999</v>
      </c>
      <c r="K50" s="37">
        <f>Assumptions!$H46*IF(LEFT($B50,9)="Baltic C5",K$4,K$5)</f>
        <v>18.584</v>
      </c>
      <c r="L50" s="37">
        <f>Assumptions!$H46*IF(LEFT($B50,9)="Baltic C5",L$4,L$5)</f>
        <v>18.786000000000001</v>
      </c>
      <c r="M50" s="37">
        <f>Assumptions!$H46*IF(LEFT($B50,9)="Baltic C5",M$4,M$5)</f>
        <v>14.948</v>
      </c>
      <c r="N50" s="37">
        <f>Assumptions!$H46*IF(LEFT($B50,9)="Baltic C5",N$4,N$5)</f>
        <v>26.966999999999999</v>
      </c>
      <c r="O50" s="37">
        <f>Assumptions!$H46*IF(LEFT($B50,9)="Baltic C5",O$4,O$5)</f>
        <v>24.240000000000002</v>
      </c>
      <c r="P50" s="37">
        <f>Assumptions!$H46*IF(LEFT($B50,9)="Baltic C5",P$4,P$5)</f>
        <v>21.21</v>
      </c>
      <c r="Q50" s="37">
        <f>Assumptions!$H46*IF(LEFT($B50,9)="Baltic C5",Q$4,Q$5)</f>
        <v>25.25</v>
      </c>
      <c r="R50" s="37">
        <f>Assumptions!$H46*IF(LEFT($B50,9)="Baltic C5",R$4,R$5)</f>
        <v>22.119</v>
      </c>
      <c r="S50" s="37">
        <f>Assumptions!$H46*IF(LEFT($B50,9)="Baltic C5",S$4,S$5)</f>
        <v>31.31</v>
      </c>
      <c r="T50" s="37">
        <f>Assumptions!$H46*IF(LEFT($B50,9)="Baltic C5",T$4,T$5)</f>
        <v>25.754999999999999</v>
      </c>
      <c r="U50" s="37">
        <f>Assumptions!$H46*IF(LEFT($B50,9)="Baltic C5",U$4,U$5)</f>
        <v>23.431999999999999</v>
      </c>
      <c r="V50" s="37">
        <f>Assumptions!$H46*IF(LEFT($B50,9)="Baltic C5",V$4,V$5)</f>
        <v>22.018000000000001</v>
      </c>
      <c r="W50" s="37">
        <f>Assumptions!$H46*IF(LEFT($B50,9)="Baltic C5",W$4,W$5)</f>
        <v>22.422000000000001</v>
      </c>
      <c r="X50" s="37">
        <f>Assumptions!$H46*IF(LEFT($B50,9)="Baltic C5",X$4,X$5)</f>
        <v>22.927</v>
      </c>
      <c r="Y50" s="37">
        <f>Assumptions!$H46*IF(LEFT($B50,9)="Baltic C5",Y$4,Y$5)</f>
        <v>23.331000000000003</v>
      </c>
      <c r="Z50" s="37">
        <f>Assumptions!$H46*IF(LEFT($B50,9)="Baltic C5",Z$4,Z$5)</f>
        <v>23.836000000000002</v>
      </c>
      <c r="AA50" s="37">
        <f>Assumptions!$H46*IF(LEFT($B50,9)="Baltic C5",AA$4,AA$5)</f>
        <v>24.341000000000001</v>
      </c>
      <c r="AB50" s="37">
        <f>Assumptions!$H46*IF(LEFT($B50,9)="Baltic C5",AB$4,AB$5)</f>
        <v>24.846</v>
      </c>
    </row>
    <row r="51" spans="1:28" x14ac:dyDescent="0.2">
      <c r="A51" s="7" t="s">
        <v>251</v>
      </c>
      <c r="B51" s="7" t="s">
        <v>342</v>
      </c>
      <c r="C51" s="37">
        <f>Assumptions!$H47*IF(LEFT($B51,9)="Baltic C5",C$4,C$5)</f>
        <v>26.462</v>
      </c>
      <c r="D51" s="37">
        <f>Assumptions!$H47*IF(LEFT($B51,9)="Baltic C5",D$4,D$5)</f>
        <v>22.725000000000001</v>
      </c>
      <c r="E51" s="37">
        <f>Assumptions!$H47*IF(LEFT($B51,9)="Baltic C5",E$4,E$5)</f>
        <v>19.896999999999998</v>
      </c>
      <c r="F51" s="37">
        <f>Assumptions!$H47*IF(LEFT($B51,9)="Baltic C5",F$4,F$5)</f>
        <v>21.311</v>
      </c>
      <c r="G51" s="37">
        <f>Assumptions!$H47*IF(LEFT($B51,9)="Baltic C5",G$4,G$5)</f>
        <v>20.806000000000001</v>
      </c>
      <c r="H51" s="37">
        <f>Assumptions!$H47*IF(LEFT($B51,9)="Baltic C5",H$4,H$5)</f>
        <v>11.311999999999999</v>
      </c>
      <c r="I51" s="37">
        <f>Assumptions!$H47*IF(LEFT($B51,9)="Baltic C5",I$4,I$5)</f>
        <v>9.1909999999999989</v>
      </c>
      <c r="J51" s="37">
        <f>Assumptions!$H47*IF(LEFT($B51,9)="Baltic C5",J$4,J$5)</f>
        <v>15.351999999999999</v>
      </c>
      <c r="K51" s="37">
        <f>Assumptions!$H47*IF(LEFT($B51,9)="Baltic C5",K$4,K$5)</f>
        <v>18.584</v>
      </c>
      <c r="L51" s="37">
        <f>Assumptions!$H47*IF(LEFT($B51,9)="Baltic C5",L$4,L$5)</f>
        <v>18.786000000000001</v>
      </c>
      <c r="M51" s="37">
        <f>Assumptions!$H47*IF(LEFT($B51,9)="Baltic C5",M$4,M$5)</f>
        <v>14.948</v>
      </c>
      <c r="N51" s="37">
        <f>Assumptions!$H47*IF(LEFT($B51,9)="Baltic C5",N$4,N$5)</f>
        <v>26.966999999999999</v>
      </c>
      <c r="O51" s="37">
        <f>Assumptions!$H47*IF(LEFT($B51,9)="Baltic C5",O$4,O$5)</f>
        <v>24.240000000000002</v>
      </c>
      <c r="P51" s="37">
        <f>Assumptions!$H47*IF(LEFT($B51,9)="Baltic C5",P$4,P$5)</f>
        <v>21.21</v>
      </c>
      <c r="Q51" s="37">
        <f>Assumptions!$H47*IF(LEFT($B51,9)="Baltic C5",Q$4,Q$5)</f>
        <v>25.25</v>
      </c>
      <c r="R51" s="37">
        <f>Assumptions!$H47*IF(LEFT($B51,9)="Baltic C5",R$4,R$5)</f>
        <v>22.119</v>
      </c>
      <c r="S51" s="37">
        <f>Assumptions!$H47*IF(LEFT($B51,9)="Baltic C5",S$4,S$5)</f>
        <v>31.31</v>
      </c>
      <c r="T51" s="37">
        <f>Assumptions!$H47*IF(LEFT($B51,9)="Baltic C5",T$4,T$5)</f>
        <v>25.754999999999999</v>
      </c>
      <c r="U51" s="37">
        <f>Assumptions!$H47*IF(LEFT($B51,9)="Baltic C5",U$4,U$5)</f>
        <v>23.431999999999999</v>
      </c>
      <c r="V51" s="37">
        <f>Assumptions!$H47*IF(LEFT($B51,9)="Baltic C5",V$4,V$5)</f>
        <v>22.018000000000001</v>
      </c>
      <c r="W51" s="37">
        <f>Assumptions!$H47*IF(LEFT($B51,9)="Baltic C5",W$4,W$5)</f>
        <v>22.422000000000001</v>
      </c>
      <c r="X51" s="37">
        <f>Assumptions!$H47*IF(LEFT($B51,9)="Baltic C5",X$4,X$5)</f>
        <v>22.927</v>
      </c>
      <c r="Y51" s="37">
        <f>Assumptions!$H47*IF(LEFT($B51,9)="Baltic C5",Y$4,Y$5)</f>
        <v>23.331000000000003</v>
      </c>
      <c r="Z51" s="37">
        <f>Assumptions!$H47*IF(LEFT($B51,9)="Baltic C5",Z$4,Z$5)</f>
        <v>23.836000000000002</v>
      </c>
      <c r="AA51" s="37">
        <f>Assumptions!$H47*IF(LEFT($B51,9)="Baltic C5",AA$4,AA$5)</f>
        <v>24.341000000000001</v>
      </c>
      <c r="AB51" s="37">
        <f>Assumptions!$H47*IF(LEFT($B51,9)="Baltic C5",AB$4,AB$5)</f>
        <v>24.846</v>
      </c>
    </row>
    <row r="52" spans="1:28" x14ac:dyDescent="0.2">
      <c r="A52" s="7" t="s">
        <v>252</v>
      </c>
      <c r="B52" s="7" t="s">
        <v>342</v>
      </c>
      <c r="C52" s="37">
        <f>Assumptions!$H48*IF(LEFT($B52,9)="Baltic C5",C$4,C$5)</f>
        <v>26.462</v>
      </c>
      <c r="D52" s="37">
        <f>Assumptions!$H48*IF(LEFT($B52,9)="Baltic C5",D$4,D$5)</f>
        <v>22.725000000000001</v>
      </c>
      <c r="E52" s="37">
        <f>Assumptions!$H48*IF(LEFT($B52,9)="Baltic C5",E$4,E$5)</f>
        <v>19.896999999999998</v>
      </c>
      <c r="F52" s="37">
        <f>Assumptions!$H48*IF(LEFT($B52,9)="Baltic C5",F$4,F$5)</f>
        <v>21.311</v>
      </c>
      <c r="G52" s="37">
        <f>Assumptions!$H48*IF(LEFT($B52,9)="Baltic C5",G$4,G$5)</f>
        <v>20.806000000000001</v>
      </c>
      <c r="H52" s="37">
        <f>Assumptions!$H48*IF(LEFT($B52,9)="Baltic C5",H$4,H$5)</f>
        <v>11.311999999999999</v>
      </c>
      <c r="I52" s="37">
        <f>Assumptions!$H48*IF(LEFT($B52,9)="Baltic C5",I$4,I$5)</f>
        <v>9.1909999999999989</v>
      </c>
      <c r="J52" s="37">
        <f>Assumptions!$H48*IF(LEFT($B52,9)="Baltic C5",J$4,J$5)</f>
        <v>15.351999999999999</v>
      </c>
      <c r="K52" s="37">
        <f>Assumptions!$H48*IF(LEFT($B52,9)="Baltic C5",K$4,K$5)</f>
        <v>18.584</v>
      </c>
      <c r="L52" s="37">
        <f>Assumptions!$H48*IF(LEFT($B52,9)="Baltic C5",L$4,L$5)</f>
        <v>18.786000000000001</v>
      </c>
      <c r="M52" s="37">
        <f>Assumptions!$H48*IF(LEFT($B52,9)="Baltic C5",M$4,M$5)</f>
        <v>14.948</v>
      </c>
      <c r="N52" s="37">
        <f>Assumptions!$H48*IF(LEFT($B52,9)="Baltic C5",N$4,N$5)</f>
        <v>26.966999999999999</v>
      </c>
      <c r="O52" s="37">
        <f>Assumptions!$H48*IF(LEFT($B52,9)="Baltic C5",O$4,O$5)</f>
        <v>24.240000000000002</v>
      </c>
      <c r="P52" s="37">
        <f>Assumptions!$H48*IF(LEFT($B52,9)="Baltic C5",P$4,P$5)</f>
        <v>21.21</v>
      </c>
      <c r="Q52" s="37">
        <f>Assumptions!$H48*IF(LEFT($B52,9)="Baltic C5",Q$4,Q$5)</f>
        <v>25.25</v>
      </c>
      <c r="R52" s="37">
        <f>Assumptions!$H48*IF(LEFT($B52,9)="Baltic C5",R$4,R$5)</f>
        <v>22.119</v>
      </c>
      <c r="S52" s="37">
        <f>Assumptions!$H48*IF(LEFT($B52,9)="Baltic C5",S$4,S$5)</f>
        <v>31.31</v>
      </c>
      <c r="T52" s="37">
        <f>Assumptions!$H48*IF(LEFT($B52,9)="Baltic C5",T$4,T$5)</f>
        <v>25.754999999999999</v>
      </c>
      <c r="U52" s="37">
        <f>Assumptions!$H48*IF(LEFT($B52,9)="Baltic C5",U$4,U$5)</f>
        <v>23.431999999999999</v>
      </c>
      <c r="V52" s="37">
        <f>Assumptions!$H48*IF(LEFT($B52,9)="Baltic C5",V$4,V$5)</f>
        <v>22.018000000000001</v>
      </c>
      <c r="W52" s="37">
        <f>Assumptions!$H48*IF(LEFT($B52,9)="Baltic C5",W$4,W$5)</f>
        <v>22.422000000000001</v>
      </c>
      <c r="X52" s="37">
        <f>Assumptions!$H48*IF(LEFT($B52,9)="Baltic C5",X$4,X$5)</f>
        <v>22.927</v>
      </c>
      <c r="Y52" s="37">
        <f>Assumptions!$H48*IF(LEFT($B52,9)="Baltic C5",Y$4,Y$5)</f>
        <v>23.331000000000003</v>
      </c>
      <c r="Z52" s="37">
        <f>Assumptions!$H48*IF(LEFT($B52,9)="Baltic C5",Z$4,Z$5)</f>
        <v>23.836000000000002</v>
      </c>
      <c r="AA52" s="37">
        <f>Assumptions!$H48*IF(LEFT($B52,9)="Baltic C5",AA$4,AA$5)</f>
        <v>24.341000000000001</v>
      </c>
      <c r="AB52" s="37">
        <f>Assumptions!$H48*IF(LEFT($B52,9)="Baltic C5",AB$4,AB$5)</f>
        <v>24.846</v>
      </c>
    </row>
    <row r="53" spans="1:28" x14ac:dyDescent="0.2">
      <c r="A53" s="7" t="s">
        <v>253</v>
      </c>
      <c r="B53" s="7" t="s">
        <v>342</v>
      </c>
      <c r="C53" s="37">
        <f>Assumptions!$H49*IF(LEFT($B53,9)="Baltic C5",C$4,C$5)</f>
        <v>26.462</v>
      </c>
      <c r="D53" s="37">
        <f>Assumptions!$H49*IF(LEFT($B53,9)="Baltic C5",D$4,D$5)</f>
        <v>22.725000000000001</v>
      </c>
      <c r="E53" s="37">
        <f>Assumptions!$H49*IF(LEFT($B53,9)="Baltic C5",E$4,E$5)</f>
        <v>19.896999999999998</v>
      </c>
      <c r="F53" s="37">
        <f>Assumptions!$H49*IF(LEFT($B53,9)="Baltic C5",F$4,F$5)</f>
        <v>21.311</v>
      </c>
      <c r="G53" s="37">
        <f>Assumptions!$H49*IF(LEFT($B53,9)="Baltic C5",G$4,G$5)</f>
        <v>20.806000000000001</v>
      </c>
      <c r="H53" s="37">
        <f>Assumptions!$H49*IF(LEFT($B53,9)="Baltic C5",H$4,H$5)</f>
        <v>11.311999999999999</v>
      </c>
      <c r="I53" s="37">
        <f>Assumptions!$H49*IF(LEFT($B53,9)="Baltic C5",I$4,I$5)</f>
        <v>9.1909999999999989</v>
      </c>
      <c r="J53" s="37">
        <f>Assumptions!$H49*IF(LEFT($B53,9)="Baltic C5",J$4,J$5)</f>
        <v>15.351999999999999</v>
      </c>
      <c r="K53" s="37">
        <f>Assumptions!$H49*IF(LEFT($B53,9)="Baltic C5",K$4,K$5)</f>
        <v>18.584</v>
      </c>
      <c r="L53" s="37">
        <f>Assumptions!$H49*IF(LEFT($B53,9)="Baltic C5",L$4,L$5)</f>
        <v>18.786000000000001</v>
      </c>
      <c r="M53" s="37">
        <f>Assumptions!$H49*IF(LEFT($B53,9)="Baltic C5",M$4,M$5)</f>
        <v>14.948</v>
      </c>
      <c r="N53" s="37">
        <f>Assumptions!$H49*IF(LEFT($B53,9)="Baltic C5",N$4,N$5)</f>
        <v>26.966999999999999</v>
      </c>
      <c r="O53" s="37">
        <f>Assumptions!$H49*IF(LEFT($B53,9)="Baltic C5",O$4,O$5)</f>
        <v>24.240000000000002</v>
      </c>
      <c r="P53" s="37">
        <f>Assumptions!$H49*IF(LEFT($B53,9)="Baltic C5",P$4,P$5)</f>
        <v>21.21</v>
      </c>
      <c r="Q53" s="37">
        <f>Assumptions!$H49*IF(LEFT($B53,9)="Baltic C5",Q$4,Q$5)</f>
        <v>25.25</v>
      </c>
      <c r="R53" s="37">
        <f>Assumptions!$H49*IF(LEFT($B53,9)="Baltic C5",R$4,R$5)</f>
        <v>22.119</v>
      </c>
      <c r="S53" s="37">
        <f>Assumptions!$H49*IF(LEFT($B53,9)="Baltic C5",S$4,S$5)</f>
        <v>31.31</v>
      </c>
      <c r="T53" s="37">
        <f>Assumptions!$H49*IF(LEFT($B53,9)="Baltic C5",T$4,T$5)</f>
        <v>25.754999999999999</v>
      </c>
      <c r="U53" s="37">
        <f>Assumptions!$H49*IF(LEFT($B53,9)="Baltic C5",U$4,U$5)</f>
        <v>23.431999999999999</v>
      </c>
      <c r="V53" s="37">
        <f>Assumptions!$H49*IF(LEFT($B53,9)="Baltic C5",V$4,V$5)</f>
        <v>22.018000000000001</v>
      </c>
      <c r="W53" s="37">
        <f>Assumptions!$H49*IF(LEFT($B53,9)="Baltic C5",W$4,W$5)</f>
        <v>22.422000000000001</v>
      </c>
      <c r="X53" s="37">
        <f>Assumptions!$H49*IF(LEFT($B53,9)="Baltic C5",X$4,X$5)</f>
        <v>22.927</v>
      </c>
      <c r="Y53" s="37">
        <f>Assumptions!$H49*IF(LEFT($B53,9)="Baltic C5",Y$4,Y$5)</f>
        <v>23.331000000000003</v>
      </c>
      <c r="Z53" s="37">
        <f>Assumptions!$H49*IF(LEFT($B53,9)="Baltic C5",Z$4,Z$5)</f>
        <v>23.836000000000002</v>
      </c>
      <c r="AA53" s="37">
        <f>Assumptions!$H49*IF(LEFT($B53,9)="Baltic C5",AA$4,AA$5)</f>
        <v>24.341000000000001</v>
      </c>
      <c r="AB53" s="37">
        <f>Assumptions!$H49*IF(LEFT($B53,9)="Baltic C5",AB$4,AB$5)</f>
        <v>24.846</v>
      </c>
    </row>
    <row r="54" spans="1:28" x14ac:dyDescent="0.2">
      <c r="A54" s="7" t="s">
        <v>254</v>
      </c>
      <c r="B54" s="7" t="s">
        <v>342</v>
      </c>
      <c r="C54" s="37">
        <f>Assumptions!$H50*IF(LEFT($B54,9)="Baltic C5",C$4,C$5)</f>
        <v>26.462</v>
      </c>
      <c r="D54" s="37">
        <f>Assumptions!$H50*IF(LEFT($B54,9)="Baltic C5",D$4,D$5)</f>
        <v>22.725000000000001</v>
      </c>
      <c r="E54" s="37">
        <f>Assumptions!$H50*IF(LEFT($B54,9)="Baltic C5",E$4,E$5)</f>
        <v>19.896999999999998</v>
      </c>
      <c r="F54" s="37">
        <f>Assumptions!$H50*IF(LEFT($B54,9)="Baltic C5",F$4,F$5)</f>
        <v>21.311</v>
      </c>
      <c r="G54" s="37">
        <f>Assumptions!$H50*IF(LEFT($B54,9)="Baltic C5",G$4,G$5)</f>
        <v>20.806000000000001</v>
      </c>
      <c r="H54" s="37">
        <f>Assumptions!$H50*IF(LEFT($B54,9)="Baltic C5",H$4,H$5)</f>
        <v>11.311999999999999</v>
      </c>
      <c r="I54" s="37">
        <f>Assumptions!$H50*IF(LEFT($B54,9)="Baltic C5",I$4,I$5)</f>
        <v>9.1909999999999989</v>
      </c>
      <c r="J54" s="37">
        <f>Assumptions!$H50*IF(LEFT($B54,9)="Baltic C5",J$4,J$5)</f>
        <v>15.351999999999999</v>
      </c>
      <c r="K54" s="37">
        <f>Assumptions!$H50*IF(LEFT($B54,9)="Baltic C5",K$4,K$5)</f>
        <v>18.584</v>
      </c>
      <c r="L54" s="37">
        <f>Assumptions!$H50*IF(LEFT($B54,9)="Baltic C5",L$4,L$5)</f>
        <v>18.786000000000001</v>
      </c>
      <c r="M54" s="37">
        <f>Assumptions!$H50*IF(LEFT($B54,9)="Baltic C5",M$4,M$5)</f>
        <v>14.948</v>
      </c>
      <c r="N54" s="37">
        <f>Assumptions!$H50*IF(LEFT($B54,9)="Baltic C5",N$4,N$5)</f>
        <v>26.966999999999999</v>
      </c>
      <c r="O54" s="37">
        <f>Assumptions!$H50*IF(LEFT($B54,9)="Baltic C5",O$4,O$5)</f>
        <v>24.240000000000002</v>
      </c>
      <c r="P54" s="37">
        <f>Assumptions!$H50*IF(LEFT($B54,9)="Baltic C5",P$4,P$5)</f>
        <v>21.21</v>
      </c>
      <c r="Q54" s="37">
        <f>Assumptions!$H50*IF(LEFT($B54,9)="Baltic C5",Q$4,Q$5)</f>
        <v>25.25</v>
      </c>
      <c r="R54" s="37">
        <f>Assumptions!$H50*IF(LEFT($B54,9)="Baltic C5",R$4,R$5)</f>
        <v>22.119</v>
      </c>
      <c r="S54" s="37">
        <f>Assumptions!$H50*IF(LEFT($B54,9)="Baltic C5",S$4,S$5)</f>
        <v>31.31</v>
      </c>
      <c r="T54" s="37">
        <f>Assumptions!$H50*IF(LEFT($B54,9)="Baltic C5",T$4,T$5)</f>
        <v>25.754999999999999</v>
      </c>
      <c r="U54" s="37">
        <f>Assumptions!$H50*IF(LEFT($B54,9)="Baltic C5",U$4,U$5)</f>
        <v>23.431999999999999</v>
      </c>
      <c r="V54" s="37">
        <f>Assumptions!$H50*IF(LEFT($B54,9)="Baltic C5",V$4,V$5)</f>
        <v>22.018000000000001</v>
      </c>
      <c r="W54" s="37">
        <f>Assumptions!$H50*IF(LEFT($B54,9)="Baltic C5",W$4,W$5)</f>
        <v>22.422000000000001</v>
      </c>
      <c r="X54" s="37">
        <f>Assumptions!$H50*IF(LEFT($B54,9)="Baltic C5",X$4,X$5)</f>
        <v>22.927</v>
      </c>
      <c r="Y54" s="37">
        <f>Assumptions!$H50*IF(LEFT($B54,9)="Baltic C5",Y$4,Y$5)</f>
        <v>23.331000000000003</v>
      </c>
      <c r="Z54" s="37">
        <f>Assumptions!$H50*IF(LEFT($B54,9)="Baltic C5",Z$4,Z$5)</f>
        <v>23.836000000000002</v>
      </c>
      <c r="AA54" s="37">
        <f>Assumptions!$H50*IF(LEFT($B54,9)="Baltic C5",AA$4,AA$5)</f>
        <v>24.341000000000001</v>
      </c>
      <c r="AB54" s="37">
        <f>Assumptions!$H50*IF(LEFT($B54,9)="Baltic C5",AB$4,AB$5)</f>
        <v>24.846</v>
      </c>
    </row>
    <row r="55" spans="1:28" x14ac:dyDescent="0.2">
      <c r="A55" s="7" t="s">
        <v>248</v>
      </c>
      <c r="B55" s="7" t="s">
        <v>342</v>
      </c>
      <c r="C55" s="37">
        <f>Assumptions!$H51*IF(LEFT($B55,9)="Baltic C5",C$4,C$5)</f>
        <v>26.462</v>
      </c>
      <c r="D55" s="37">
        <f>Assumptions!$H51*IF(LEFT($B55,9)="Baltic C5",D$4,D$5)</f>
        <v>22.725000000000001</v>
      </c>
      <c r="E55" s="37">
        <f>Assumptions!$H51*IF(LEFT($B55,9)="Baltic C5",E$4,E$5)</f>
        <v>19.896999999999998</v>
      </c>
      <c r="F55" s="37">
        <f>Assumptions!$H51*IF(LEFT($B55,9)="Baltic C5",F$4,F$5)</f>
        <v>21.311</v>
      </c>
      <c r="G55" s="37">
        <f>Assumptions!$H51*IF(LEFT($B55,9)="Baltic C5",G$4,G$5)</f>
        <v>20.806000000000001</v>
      </c>
      <c r="H55" s="37">
        <f>Assumptions!$H51*IF(LEFT($B55,9)="Baltic C5",H$4,H$5)</f>
        <v>11.311999999999999</v>
      </c>
      <c r="I55" s="37">
        <f>Assumptions!$H51*IF(LEFT($B55,9)="Baltic C5",I$4,I$5)</f>
        <v>9.1909999999999989</v>
      </c>
      <c r="J55" s="37">
        <f>Assumptions!$H51*IF(LEFT($B55,9)="Baltic C5",J$4,J$5)</f>
        <v>15.351999999999999</v>
      </c>
      <c r="K55" s="37">
        <f>Assumptions!$H51*IF(LEFT($B55,9)="Baltic C5",K$4,K$5)</f>
        <v>18.584</v>
      </c>
      <c r="L55" s="37">
        <f>Assumptions!$H51*IF(LEFT($B55,9)="Baltic C5",L$4,L$5)</f>
        <v>18.786000000000001</v>
      </c>
      <c r="M55" s="37">
        <f>Assumptions!$H51*IF(LEFT($B55,9)="Baltic C5",M$4,M$5)</f>
        <v>14.948</v>
      </c>
      <c r="N55" s="37">
        <f>Assumptions!$H51*IF(LEFT($B55,9)="Baltic C5",N$4,N$5)</f>
        <v>26.966999999999999</v>
      </c>
      <c r="O55" s="37">
        <f>Assumptions!$H51*IF(LEFT($B55,9)="Baltic C5",O$4,O$5)</f>
        <v>24.240000000000002</v>
      </c>
      <c r="P55" s="37">
        <f>Assumptions!$H51*IF(LEFT($B55,9)="Baltic C5",P$4,P$5)</f>
        <v>21.21</v>
      </c>
      <c r="Q55" s="37">
        <f>Assumptions!$H51*IF(LEFT($B55,9)="Baltic C5",Q$4,Q$5)</f>
        <v>25.25</v>
      </c>
      <c r="R55" s="37">
        <f>Assumptions!$H51*IF(LEFT($B55,9)="Baltic C5",R$4,R$5)</f>
        <v>22.119</v>
      </c>
      <c r="S55" s="37">
        <f>Assumptions!$H51*IF(LEFT($B55,9)="Baltic C5",S$4,S$5)</f>
        <v>31.31</v>
      </c>
      <c r="T55" s="37">
        <f>Assumptions!$H51*IF(LEFT($B55,9)="Baltic C5",T$4,T$5)</f>
        <v>25.754999999999999</v>
      </c>
      <c r="U55" s="37">
        <f>Assumptions!$H51*IF(LEFT($B55,9)="Baltic C5",U$4,U$5)</f>
        <v>23.431999999999999</v>
      </c>
      <c r="V55" s="37">
        <f>Assumptions!$H51*IF(LEFT($B55,9)="Baltic C5",V$4,V$5)</f>
        <v>22.018000000000001</v>
      </c>
      <c r="W55" s="37">
        <f>Assumptions!$H51*IF(LEFT($B55,9)="Baltic C5",W$4,W$5)</f>
        <v>22.422000000000001</v>
      </c>
      <c r="X55" s="37">
        <f>Assumptions!$H51*IF(LEFT($B55,9)="Baltic C5",X$4,X$5)</f>
        <v>22.927</v>
      </c>
      <c r="Y55" s="37">
        <f>Assumptions!$H51*IF(LEFT($B55,9)="Baltic C5",Y$4,Y$5)</f>
        <v>23.331000000000003</v>
      </c>
      <c r="Z55" s="37">
        <f>Assumptions!$H51*IF(LEFT($B55,9)="Baltic C5",Z$4,Z$5)</f>
        <v>23.836000000000002</v>
      </c>
      <c r="AA55" s="37">
        <f>Assumptions!$H51*IF(LEFT($B55,9)="Baltic C5",AA$4,AA$5)</f>
        <v>24.341000000000001</v>
      </c>
      <c r="AB55" s="37">
        <f>Assumptions!$H51*IF(LEFT($B55,9)="Baltic C5",AB$4,AB$5)</f>
        <v>24.846</v>
      </c>
    </row>
    <row r="56" spans="1:28" x14ac:dyDescent="0.2">
      <c r="A56" s="7" t="s">
        <v>255</v>
      </c>
      <c r="B56" s="7" t="s">
        <v>342</v>
      </c>
      <c r="C56" s="37">
        <f>Assumptions!$H52*IF(LEFT($B56,9)="Baltic C5",C$4,C$5)</f>
        <v>26.462</v>
      </c>
      <c r="D56" s="37">
        <f>Assumptions!$H52*IF(LEFT($B56,9)="Baltic C5",D$4,D$5)</f>
        <v>22.725000000000001</v>
      </c>
      <c r="E56" s="37">
        <f>Assumptions!$H52*IF(LEFT($B56,9)="Baltic C5",E$4,E$5)</f>
        <v>19.896999999999998</v>
      </c>
      <c r="F56" s="37">
        <f>Assumptions!$H52*IF(LEFT($B56,9)="Baltic C5",F$4,F$5)</f>
        <v>21.311</v>
      </c>
      <c r="G56" s="37">
        <f>Assumptions!$H52*IF(LEFT($B56,9)="Baltic C5",G$4,G$5)</f>
        <v>20.806000000000001</v>
      </c>
      <c r="H56" s="37">
        <f>Assumptions!$H52*IF(LEFT($B56,9)="Baltic C5",H$4,H$5)</f>
        <v>11.311999999999999</v>
      </c>
      <c r="I56" s="37">
        <f>Assumptions!$H52*IF(LEFT($B56,9)="Baltic C5",I$4,I$5)</f>
        <v>9.1909999999999989</v>
      </c>
      <c r="J56" s="37">
        <f>Assumptions!$H52*IF(LEFT($B56,9)="Baltic C5",J$4,J$5)</f>
        <v>15.351999999999999</v>
      </c>
      <c r="K56" s="37">
        <f>Assumptions!$H52*IF(LEFT($B56,9)="Baltic C5",K$4,K$5)</f>
        <v>18.584</v>
      </c>
      <c r="L56" s="37">
        <f>Assumptions!$H52*IF(LEFT($B56,9)="Baltic C5",L$4,L$5)</f>
        <v>18.786000000000001</v>
      </c>
      <c r="M56" s="37">
        <f>Assumptions!$H52*IF(LEFT($B56,9)="Baltic C5",M$4,M$5)</f>
        <v>14.948</v>
      </c>
      <c r="N56" s="37">
        <f>Assumptions!$H52*IF(LEFT($B56,9)="Baltic C5",N$4,N$5)</f>
        <v>26.966999999999999</v>
      </c>
      <c r="O56" s="37">
        <f>Assumptions!$H52*IF(LEFT($B56,9)="Baltic C5",O$4,O$5)</f>
        <v>24.240000000000002</v>
      </c>
      <c r="P56" s="37">
        <f>Assumptions!$H52*IF(LEFT($B56,9)="Baltic C5",P$4,P$5)</f>
        <v>21.21</v>
      </c>
      <c r="Q56" s="37">
        <f>Assumptions!$H52*IF(LEFT($B56,9)="Baltic C5",Q$4,Q$5)</f>
        <v>25.25</v>
      </c>
      <c r="R56" s="37">
        <f>Assumptions!$H52*IF(LEFT($B56,9)="Baltic C5",R$4,R$5)</f>
        <v>22.119</v>
      </c>
      <c r="S56" s="37">
        <f>Assumptions!$H52*IF(LEFT($B56,9)="Baltic C5",S$4,S$5)</f>
        <v>31.31</v>
      </c>
      <c r="T56" s="37">
        <f>Assumptions!$H52*IF(LEFT($B56,9)="Baltic C5",T$4,T$5)</f>
        <v>25.754999999999999</v>
      </c>
      <c r="U56" s="37">
        <f>Assumptions!$H52*IF(LEFT($B56,9)="Baltic C5",U$4,U$5)</f>
        <v>23.431999999999999</v>
      </c>
      <c r="V56" s="37">
        <f>Assumptions!$H52*IF(LEFT($B56,9)="Baltic C5",V$4,V$5)</f>
        <v>22.018000000000001</v>
      </c>
      <c r="W56" s="37">
        <f>Assumptions!$H52*IF(LEFT($B56,9)="Baltic C5",W$4,W$5)</f>
        <v>22.422000000000001</v>
      </c>
      <c r="X56" s="37">
        <f>Assumptions!$H52*IF(LEFT($B56,9)="Baltic C5",X$4,X$5)</f>
        <v>22.927</v>
      </c>
      <c r="Y56" s="37">
        <f>Assumptions!$H52*IF(LEFT($B56,9)="Baltic C5",Y$4,Y$5)</f>
        <v>23.331000000000003</v>
      </c>
      <c r="Z56" s="37">
        <f>Assumptions!$H52*IF(LEFT($B56,9)="Baltic C5",Z$4,Z$5)</f>
        <v>23.836000000000002</v>
      </c>
      <c r="AA56" s="37">
        <f>Assumptions!$H52*IF(LEFT($B56,9)="Baltic C5",AA$4,AA$5)</f>
        <v>24.341000000000001</v>
      </c>
      <c r="AB56" s="37">
        <f>Assumptions!$H52*IF(LEFT($B56,9)="Baltic C5",AB$4,AB$5)</f>
        <v>24.846</v>
      </c>
    </row>
    <row r="57" spans="1:28" x14ac:dyDescent="0.2">
      <c r="A57" s="7" t="s">
        <v>256</v>
      </c>
      <c r="B57" s="7" t="s">
        <v>342</v>
      </c>
      <c r="C57" s="37">
        <f>Assumptions!$H53*IF(LEFT($B57,9)="Baltic C5",C$4,C$5)</f>
        <v>26.462</v>
      </c>
      <c r="D57" s="37">
        <f>Assumptions!$H53*IF(LEFT($B57,9)="Baltic C5",D$4,D$5)</f>
        <v>22.725000000000001</v>
      </c>
      <c r="E57" s="37">
        <f>Assumptions!$H53*IF(LEFT($B57,9)="Baltic C5",E$4,E$5)</f>
        <v>19.896999999999998</v>
      </c>
      <c r="F57" s="37">
        <f>Assumptions!$H53*IF(LEFT($B57,9)="Baltic C5",F$4,F$5)</f>
        <v>21.311</v>
      </c>
      <c r="G57" s="37">
        <f>Assumptions!$H53*IF(LEFT($B57,9)="Baltic C5",G$4,G$5)</f>
        <v>20.806000000000001</v>
      </c>
      <c r="H57" s="37">
        <f>Assumptions!$H53*IF(LEFT($B57,9)="Baltic C5",H$4,H$5)</f>
        <v>11.311999999999999</v>
      </c>
      <c r="I57" s="37">
        <f>Assumptions!$H53*IF(LEFT($B57,9)="Baltic C5",I$4,I$5)</f>
        <v>9.1909999999999989</v>
      </c>
      <c r="J57" s="37">
        <f>Assumptions!$H53*IF(LEFT($B57,9)="Baltic C5",J$4,J$5)</f>
        <v>15.351999999999999</v>
      </c>
      <c r="K57" s="37">
        <f>Assumptions!$H53*IF(LEFT($B57,9)="Baltic C5",K$4,K$5)</f>
        <v>18.584</v>
      </c>
      <c r="L57" s="37">
        <f>Assumptions!$H53*IF(LEFT($B57,9)="Baltic C5",L$4,L$5)</f>
        <v>18.786000000000001</v>
      </c>
      <c r="M57" s="37">
        <f>Assumptions!$H53*IF(LEFT($B57,9)="Baltic C5",M$4,M$5)</f>
        <v>14.948</v>
      </c>
      <c r="N57" s="37">
        <f>Assumptions!$H53*IF(LEFT($B57,9)="Baltic C5",N$4,N$5)</f>
        <v>26.966999999999999</v>
      </c>
      <c r="O57" s="37">
        <f>Assumptions!$H53*IF(LEFT($B57,9)="Baltic C5",O$4,O$5)</f>
        <v>24.240000000000002</v>
      </c>
      <c r="P57" s="37">
        <f>Assumptions!$H53*IF(LEFT($B57,9)="Baltic C5",P$4,P$5)</f>
        <v>21.21</v>
      </c>
      <c r="Q57" s="37">
        <f>Assumptions!$H53*IF(LEFT($B57,9)="Baltic C5",Q$4,Q$5)</f>
        <v>25.25</v>
      </c>
      <c r="R57" s="37">
        <f>Assumptions!$H53*IF(LEFT($B57,9)="Baltic C5",R$4,R$5)</f>
        <v>22.119</v>
      </c>
      <c r="S57" s="37">
        <f>Assumptions!$H53*IF(LEFT($B57,9)="Baltic C5",S$4,S$5)</f>
        <v>31.31</v>
      </c>
      <c r="T57" s="37">
        <f>Assumptions!$H53*IF(LEFT($B57,9)="Baltic C5",T$4,T$5)</f>
        <v>25.754999999999999</v>
      </c>
      <c r="U57" s="37">
        <f>Assumptions!$H53*IF(LEFT($B57,9)="Baltic C5",U$4,U$5)</f>
        <v>23.431999999999999</v>
      </c>
      <c r="V57" s="37">
        <f>Assumptions!$H53*IF(LEFT($B57,9)="Baltic C5",V$4,V$5)</f>
        <v>22.018000000000001</v>
      </c>
      <c r="W57" s="37">
        <f>Assumptions!$H53*IF(LEFT($B57,9)="Baltic C5",W$4,W$5)</f>
        <v>22.422000000000001</v>
      </c>
      <c r="X57" s="37">
        <f>Assumptions!$H53*IF(LEFT($B57,9)="Baltic C5",X$4,X$5)</f>
        <v>22.927</v>
      </c>
      <c r="Y57" s="37">
        <f>Assumptions!$H53*IF(LEFT($B57,9)="Baltic C5",Y$4,Y$5)</f>
        <v>23.331000000000003</v>
      </c>
      <c r="Z57" s="37">
        <f>Assumptions!$H53*IF(LEFT($B57,9)="Baltic C5",Z$4,Z$5)</f>
        <v>23.836000000000002</v>
      </c>
      <c r="AA57" s="37">
        <f>Assumptions!$H53*IF(LEFT($B57,9)="Baltic C5",AA$4,AA$5)</f>
        <v>24.341000000000001</v>
      </c>
      <c r="AB57" s="37">
        <f>Assumptions!$H53*IF(LEFT($B57,9)="Baltic C5",AB$4,AB$5)</f>
        <v>24.846</v>
      </c>
    </row>
    <row r="58" spans="1:28" x14ac:dyDescent="0.2">
      <c r="A58" s="7" t="s">
        <v>137</v>
      </c>
      <c r="B58" s="7" t="s">
        <v>59</v>
      </c>
      <c r="C58" s="37">
        <f>Assumptions!$H54*IF(LEFT($B58,9)="Baltic C5",C$4,C$5)</f>
        <v>11.959999999999999</v>
      </c>
      <c r="D58" s="37">
        <f>Assumptions!$H54*IF(LEFT($B58,9)="Baltic C5",D$4,D$5)</f>
        <v>10.464999999999998</v>
      </c>
      <c r="E58" s="37">
        <f>Assumptions!$H54*IF(LEFT($B58,9)="Baltic C5",E$4,E$5)</f>
        <v>8.9699999999999989</v>
      </c>
      <c r="F58" s="37">
        <f>Assumptions!$H54*IF(LEFT($B58,9)="Baltic C5",F$4,F$5)</f>
        <v>10.119999999999999</v>
      </c>
      <c r="G58" s="37">
        <f>Assumptions!$H54*IF(LEFT($B58,9)="Baltic C5",G$4,G$5)</f>
        <v>9.3149999999999995</v>
      </c>
      <c r="H58" s="37">
        <f>Assumptions!$H54*IF(LEFT($B58,9)="Baltic C5",H$4,H$5)</f>
        <v>5.6349999999999998</v>
      </c>
      <c r="I58" s="37">
        <f>Assumptions!$H54*IF(LEFT($B58,9)="Baltic C5",I$4,I$5)</f>
        <v>5.1749999999999998</v>
      </c>
      <c r="J58" s="37">
        <f>Assumptions!$H54*IF(LEFT($B58,9)="Baltic C5",J$4,J$5)</f>
        <v>7.8199999999999994</v>
      </c>
      <c r="K58" s="37">
        <f>Assumptions!$H54*IF(LEFT($B58,9)="Baltic C5",K$4,K$5)</f>
        <v>8.7399999999999984</v>
      </c>
      <c r="L58" s="37">
        <f>Assumptions!$H54*IF(LEFT($B58,9)="Baltic C5",L$4,L$5)</f>
        <v>8.8549999999999986</v>
      </c>
      <c r="M58" s="37">
        <f>Assumptions!$H54*IF(LEFT($B58,9)="Baltic C5",M$4,M$5)</f>
        <v>7.7049999999999992</v>
      </c>
      <c r="N58" s="37">
        <f>Assumptions!$H54*IF(LEFT($B58,9)="Baltic C5",N$4,N$5)</f>
        <v>13.914999999999999</v>
      </c>
      <c r="O58" s="37">
        <f>Assumptions!$H54*IF(LEFT($B58,9)="Baltic C5",O$4,O$5)</f>
        <v>11.385</v>
      </c>
      <c r="P58" s="37">
        <f>Assumptions!$H54*IF(LEFT($B58,9)="Baltic C5",P$4,P$5)</f>
        <v>10.004999999999999</v>
      </c>
      <c r="Q58" s="37">
        <f>Assumptions!$H54*IF(LEFT($B58,9)="Baltic C5",Q$4,Q$5)</f>
        <v>11.614999999999998</v>
      </c>
      <c r="R58" s="37">
        <f>Assumptions!$H54*IF(LEFT($B58,9)="Baltic C5",R$4,R$5)</f>
        <v>10.464999999999998</v>
      </c>
      <c r="S58" s="37">
        <f>Assumptions!$H54*IF(LEFT($B58,9)="Baltic C5",S$4,S$5)</f>
        <v>14.374999999999998</v>
      </c>
      <c r="T58" s="37">
        <f>Assumptions!$H54*IF(LEFT($B58,9)="Baltic C5",T$4,T$5)</f>
        <v>12.42</v>
      </c>
      <c r="U58" s="37">
        <f>Assumptions!$H54*IF(LEFT($B58,9)="Baltic C5",U$4,U$5)</f>
        <v>11.729999999999999</v>
      </c>
      <c r="V58" s="37">
        <f>Assumptions!$H54*IF(LEFT($B58,9)="Baltic C5",V$4,V$5)</f>
        <v>11.27</v>
      </c>
      <c r="W58" s="37">
        <f>Assumptions!$H54*IF(LEFT($B58,9)="Baltic C5",W$4,W$5)</f>
        <v>11.5</v>
      </c>
      <c r="X58" s="37">
        <f>Assumptions!$H54*IF(LEFT($B58,9)="Baltic C5",X$4,X$5)</f>
        <v>11.729999999999999</v>
      </c>
      <c r="Y58" s="37">
        <f>Assumptions!$H54*IF(LEFT($B58,9)="Baltic C5",Y$4,Y$5)</f>
        <v>11.959999999999999</v>
      </c>
      <c r="Z58" s="37">
        <f>Assumptions!$H54*IF(LEFT($B58,9)="Baltic C5",Z$4,Z$5)</f>
        <v>12.19</v>
      </c>
      <c r="AA58" s="37">
        <f>Assumptions!$H54*IF(LEFT($B58,9)="Baltic C5",AA$4,AA$5)</f>
        <v>12.42</v>
      </c>
      <c r="AB58" s="37">
        <f>Assumptions!$H54*IF(LEFT($B58,9)="Baltic C5",AB$4,AB$5)</f>
        <v>12.649999999999999</v>
      </c>
    </row>
    <row r="59" spans="1:28" x14ac:dyDescent="0.2">
      <c r="A59" s="7" t="s">
        <v>138</v>
      </c>
      <c r="B59" s="7" t="s">
        <v>357</v>
      </c>
      <c r="C59" s="37">
        <f>Assumptions!$H55*IF(LEFT($B59,9)="Baltic C5",C$4,C$5)</f>
        <v>13.936000000000002</v>
      </c>
      <c r="D59" s="37">
        <f>Assumptions!$H55*IF(LEFT($B59,9)="Baltic C5",D$4,D$5)</f>
        <v>12.194000000000001</v>
      </c>
      <c r="E59" s="37">
        <f>Assumptions!$H55*IF(LEFT($B59,9)="Baltic C5",E$4,E$5)</f>
        <v>10.452</v>
      </c>
      <c r="F59" s="37">
        <f>Assumptions!$H55*IF(LEFT($B59,9)="Baltic C5",F$4,F$5)</f>
        <v>11.792000000000002</v>
      </c>
      <c r="G59" s="37">
        <f>Assumptions!$H55*IF(LEFT($B59,9)="Baltic C5",G$4,G$5)</f>
        <v>10.854000000000001</v>
      </c>
      <c r="H59" s="37">
        <f>Assumptions!$H55*IF(LEFT($B59,9)="Baltic C5",H$4,H$5)</f>
        <v>6.5660000000000007</v>
      </c>
      <c r="I59" s="37">
        <f>Assumptions!$H55*IF(LEFT($B59,9)="Baltic C5",I$4,I$5)</f>
        <v>6.03</v>
      </c>
      <c r="J59" s="37">
        <f>Assumptions!$H55*IF(LEFT($B59,9)="Baltic C5",J$4,J$5)</f>
        <v>9.1120000000000001</v>
      </c>
      <c r="K59" s="37">
        <f>Assumptions!$H55*IF(LEFT($B59,9)="Baltic C5",K$4,K$5)</f>
        <v>10.183999999999999</v>
      </c>
      <c r="L59" s="37">
        <f>Assumptions!$H55*IF(LEFT($B59,9)="Baltic C5",L$4,L$5)</f>
        <v>10.318000000000001</v>
      </c>
      <c r="M59" s="37">
        <f>Assumptions!$H55*IF(LEFT($B59,9)="Baltic C5",M$4,M$5)</f>
        <v>8.9780000000000015</v>
      </c>
      <c r="N59" s="37">
        <f>Assumptions!$H55*IF(LEFT($B59,9)="Baltic C5",N$4,N$5)</f>
        <v>16.214000000000002</v>
      </c>
      <c r="O59" s="37">
        <f>Assumptions!$H55*IF(LEFT($B59,9)="Baltic C5",O$4,O$5)</f>
        <v>13.266000000000002</v>
      </c>
      <c r="P59" s="37">
        <f>Assumptions!$H55*IF(LEFT($B59,9)="Baltic C5",P$4,P$5)</f>
        <v>11.657999999999999</v>
      </c>
      <c r="Q59" s="37">
        <f>Assumptions!$H55*IF(LEFT($B59,9)="Baltic C5",Q$4,Q$5)</f>
        <v>13.534000000000001</v>
      </c>
      <c r="R59" s="37">
        <f>Assumptions!$H55*IF(LEFT($B59,9)="Baltic C5",R$4,R$5)</f>
        <v>12.194000000000001</v>
      </c>
      <c r="S59" s="37">
        <f>Assumptions!$H55*IF(LEFT($B59,9)="Baltic C5",S$4,S$5)</f>
        <v>16.75</v>
      </c>
      <c r="T59" s="37">
        <f>Assumptions!$H55*IF(LEFT($B59,9)="Baltic C5",T$4,T$5)</f>
        <v>14.472000000000001</v>
      </c>
      <c r="U59" s="37">
        <f>Assumptions!$H55*IF(LEFT($B59,9)="Baltic C5",U$4,U$5)</f>
        <v>13.667999999999999</v>
      </c>
      <c r="V59" s="37">
        <f>Assumptions!$H55*IF(LEFT($B59,9)="Baltic C5",V$4,V$5)</f>
        <v>13.132000000000001</v>
      </c>
      <c r="W59" s="37">
        <f>Assumptions!$H55*IF(LEFT($B59,9)="Baltic C5",W$4,W$5)</f>
        <v>13.4</v>
      </c>
      <c r="X59" s="37">
        <f>Assumptions!$H55*IF(LEFT($B59,9)="Baltic C5",X$4,X$5)</f>
        <v>13.667999999999999</v>
      </c>
      <c r="Y59" s="37">
        <f>Assumptions!$H55*IF(LEFT($B59,9)="Baltic C5",Y$4,Y$5)</f>
        <v>13.936000000000002</v>
      </c>
      <c r="Z59" s="37">
        <f>Assumptions!$H55*IF(LEFT($B59,9)="Baltic C5",Z$4,Z$5)</f>
        <v>14.204000000000001</v>
      </c>
      <c r="AA59" s="37">
        <f>Assumptions!$H55*IF(LEFT($B59,9)="Baltic C5",AA$4,AA$5)</f>
        <v>14.472000000000001</v>
      </c>
      <c r="AB59" s="37">
        <f>Assumptions!$H55*IF(LEFT($B59,9)="Baltic C5",AB$4,AB$5)</f>
        <v>14.74</v>
      </c>
    </row>
    <row r="60" spans="1:28" x14ac:dyDescent="0.2">
      <c r="A60" s="7" t="s">
        <v>146</v>
      </c>
      <c r="B60" s="7" t="s">
        <v>359</v>
      </c>
      <c r="C60" s="37">
        <f>Assumptions!$H56*IF(LEFT($B60,9)="Baltic C5",C$4,C$5)</f>
        <v>11.856</v>
      </c>
      <c r="D60" s="37">
        <f>Assumptions!$H56*IF(LEFT($B60,9)="Baltic C5",D$4,D$5)</f>
        <v>10.373999999999999</v>
      </c>
      <c r="E60" s="37">
        <f>Assumptions!$H56*IF(LEFT($B60,9)="Baltic C5",E$4,E$5)</f>
        <v>8.8919999999999995</v>
      </c>
      <c r="F60" s="37">
        <f>Assumptions!$H56*IF(LEFT($B60,9)="Baltic C5",F$4,F$5)</f>
        <v>10.032</v>
      </c>
      <c r="G60" s="37">
        <f>Assumptions!$H56*IF(LEFT($B60,9)="Baltic C5",G$4,G$5)</f>
        <v>9.2339999999999982</v>
      </c>
      <c r="H60" s="37">
        <f>Assumptions!$H56*IF(LEFT($B60,9)="Baltic C5",H$4,H$5)</f>
        <v>5.5860000000000003</v>
      </c>
      <c r="I60" s="37">
        <f>Assumptions!$H56*IF(LEFT($B60,9)="Baltic C5",I$4,I$5)</f>
        <v>5.13</v>
      </c>
      <c r="J60" s="37">
        <f>Assumptions!$H56*IF(LEFT($B60,9)="Baltic C5",J$4,J$5)</f>
        <v>7.7519999999999989</v>
      </c>
      <c r="K60" s="37">
        <f>Assumptions!$H56*IF(LEFT($B60,9)="Baltic C5",K$4,K$5)</f>
        <v>8.6639999999999997</v>
      </c>
      <c r="L60" s="37">
        <f>Assumptions!$H56*IF(LEFT($B60,9)="Baltic C5",L$4,L$5)</f>
        <v>8.7779999999999987</v>
      </c>
      <c r="M60" s="37">
        <f>Assumptions!$H56*IF(LEFT($B60,9)="Baltic C5",M$4,M$5)</f>
        <v>7.6379999999999999</v>
      </c>
      <c r="N60" s="37">
        <f>Assumptions!$H56*IF(LEFT($B60,9)="Baltic C5",N$4,N$5)</f>
        <v>13.793999999999999</v>
      </c>
      <c r="O60" s="37">
        <f>Assumptions!$H56*IF(LEFT($B60,9)="Baltic C5",O$4,O$5)</f>
        <v>11.286</v>
      </c>
      <c r="P60" s="37">
        <f>Assumptions!$H56*IF(LEFT($B60,9)="Baltic C5",P$4,P$5)</f>
        <v>9.9179999999999975</v>
      </c>
      <c r="Q60" s="37">
        <f>Assumptions!$H56*IF(LEFT($B60,9)="Baltic C5",Q$4,Q$5)</f>
        <v>11.513999999999999</v>
      </c>
      <c r="R60" s="37">
        <f>Assumptions!$H56*IF(LEFT($B60,9)="Baltic C5",R$4,R$5)</f>
        <v>10.373999999999999</v>
      </c>
      <c r="S60" s="37">
        <f>Assumptions!$H56*IF(LEFT($B60,9)="Baltic C5",S$4,S$5)</f>
        <v>14.249999999999998</v>
      </c>
      <c r="T60" s="37">
        <f>Assumptions!$H56*IF(LEFT($B60,9)="Baltic C5",T$4,T$5)</f>
        <v>12.311999999999999</v>
      </c>
      <c r="U60" s="37">
        <f>Assumptions!$H56*IF(LEFT($B60,9)="Baltic C5",U$4,U$5)</f>
        <v>11.627999999999998</v>
      </c>
      <c r="V60" s="37">
        <f>Assumptions!$H56*IF(LEFT($B60,9)="Baltic C5",V$4,V$5)</f>
        <v>11.172000000000001</v>
      </c>
      <c r="W60" s="37">
        <f>Assumptions!$H56*IF(LEFT($B60,9)="Baltic C5",W$4,W$5)</f>
        <v>11.399999999999999</v>
      </c>
      <c r="X60" s="37">
        <f>Assumptions!$H56*IF(LEFT($B60,9)="Baltic C5",X$4,X$5)</f>
        <v>11.627999999999998</v>
      </c>
      <c r="Y60" s="37">
        <f>Assumptions!$H56*IF(LEFT($B60,9)="Baltic C5",Y$4,Y$5)</f>
        <v>11.856</v>
      </c>
      <c r="Z60" s="37">
        <f>Assumptions!$H56*IF(LEFT($B60,9)="Baltic C5",Z$4,Z$5)</f>
        <v>12.083999999999998</v>
      </c>
      <c r="AA60" s="37">
        <f>Assumptions!$H56*IF(LEFT($B60,9)="Baltic C5",AA$4,AA$5)</f>
        <v>12.311999999999999</v>
      </c>
      <c r="AB60" s="37">
        <f>Assumptions!$H56*IF(LEFT($B60,9)="Baltic C5",AB$4,AB$5)</f>
        <v>12.54</v>
      </c>
    </row>
    <row r="61" spans="1:28" x14ac:dyDescent="0.2">
      <c r="A61" s="7" t="s">
        <v>139</v>
      </c>
      <c r="B61" s="7" t="s">
        <v>358</v>
      </c>
      <c r="C61" s="37">
        <f>Assumptions!$H57*IF(LEFT($B61,9)="Baltic C5",C$4,C$5)</f>
        <v>13.832000000000001</v>
      </c>
      <c r="D61" s="37">
        <f>Assumptions!$H57*IF(LEFT($B61,9)="Baltic C5",D$4,D$5)</f>
        <v>12.103</v>
      </c>
      <c r="E61" s="37">
        <f>Assumptions!$H57*IF(LEFT($B61,9)="Baltic C5",E$4,E$5)</f>
        <v>10.374000000000001</v>
      </c>
      <c r="F61" s="37">
        <f>Assumptions!$H57*IF(LEFT($B61,9)="Baltic C5",F$4,F$5)</f>
        <v>11.704000000000002</v>
      </c>
      <c r="G61" s="37">
        <f>Assumptions!$H57*IF(LEFT($B61,9)="Baltic C5",G$4,G$5)</f>
        <v>10.773</v>
      </c>
      <c r="H61" s="37">
        <f>Assumptions!$H57*IF(LEFT($B61,9)="Baltic C5",H$4,H$5)</f>
        <v>6.5170000000000012</v>
      </c>
      <c r="I61" s="37">
        <f>Assumptions!$H57*IF(LEFT($B61,9)="Baltic C5",I$4,I$5)</f>
        <v>5.9850000000000003</v>
      </c>
      <c r="J61" s="37">
        <f>Assumptions!$H57*IF(LEFT($B61,9)="Baltic C5",J$4,J$5)</f>
        <v>9.0440000000000005</v>
      </c>
      <c r="K61" s="37">
        <f>Assumptions!$H57*IF(LEFT($B61,9)="Baltic C5",K$4,K$5)</f>
        <v>10.108000000000001</v>
      </c>
      <c r="L61" s="37">
        <f>Assumptions!$H57*IF(LEFT($B61,9)="Baltic C5",L$4,L$5)</f>
        <v>10.241000000000001</v>
      </c>
      <c r="M61" s="37">
        <f>Assumptions!$H57*IF(LEFT($B61,9)="Baltic C5",M$4,M$5)</f>
        <v>8.9110000000000014</v>
      </c>
      <c r="N61" s="37">
        <f>Assumptions!$H57*IF(LEFT($B61,9)="Baltic C5",N$4,N$5)</f>
        <v>16.093</v>
      </c>
      <c r="O61" s="37">
        <f>Assumptions!$H57*IF(LEFT($B61,9)="Baltic C5",O$4,O$5)</f>
        <v>13.167000000000002</v>
      </c>
      <c r="P61" s="37">
        <f>Assumptions!$H57*IF(LEFT($B61,9)="Baltic C5",P$4,P$5)</f>
        <v>11.571</v>
      </c>
      <c r="Q61" s="37">
        <f>Assumptions!$H57*IF(LEFT($B61,9)="Baltic C5",Q$4,Q$5)</f>
        <v>13.433</v>
      </c>
      <c r="R61" s="37">
        <f>Assumptions!$H57*IF(LEFT($B61,9)="Baltic C5",R$4,R$5)</f>
        <v>12.103</v>
      </c>
      <c r="S61" s="37">
        <f>Assumptions!$H57*IF(LEFT($B61,9)="Baltic C5",S$4,S$5)</f>
        <v>16.625</v>
      </c>
      <c r="T61" s="37">
        <f>Assumptions!$H57*IF(LEFT($B61,9)="Baltic C5",T$4,T$5)</f>
        <v>14.364000000000003</v>
      </c>
      <c r="U61" s="37">
        <f>Assumptions!$H57*IF(LEFT($B61,9)="Baltic C5",U$4,U$5)</f>
        <v>13.565999999999999</v>
      </c>
      <c r="V61" s="37">
        <f>Assumptions!$H57*IF(LEFT($B61,9)="Baltic C5",V$4,V$5)</f>
        <v>13.034000000000002</v>
      </c>
      <c r="W61" s="37">
        <f>Assumptions!$H57*IF(LEFT($B61,9)="Baltic C5",W$4,W$5)</f>
        <v>13.3</v>
      </c>
      <c r="X61" s="37">
        <f>Assumptions!$H57*IF(LEFT($B61,9)="Baltic C5",X$4,X$5)</f>
        <v>13.565999999999999</v>
      </c>
      <c r="Y61" s="37">
        <f>Assumptions!$H57*IF(LEFT($B61,9)="Baltic C5",Y$4,Y$5)</f>
        <v>13.832000000000001</v>
      </c>
      <c r="Z61" s="37">
        <f>Assumptions!$H57*IF(LEFT($B61,9)="Baltic C5",Z$4,Z$5)</f>
        <v>14.098000000000001</v>
      </c>
      <c r="AA61" s="37">
        <f>Assumptions!$H57*IF(LEFT($B61,9)="Baltic C5",AA$4,AA$5)</f>
        <v>14.364000000000003</v>
      </c>
      <c r="AB61" s="37">
        <f>Assumptions!$H57*IF(LEFT($B61,9)="Baltic C5",AB$4,AB$5)</f>
        <v>14.63</v>
      </c>
    </row>
    <row r="62" spans="1:28" x14ac:dyDescent="0.2">
      <c r="A62" s="7" t="s">
        <v>140</v>
      </c>
      <c r="B62" s="7" t="s">
        <v>360</v>
      </c>
      <c r="C62" s="37">
        <f>Assumptions!$H58*IF(LEFT($B62,9)="Baltic C5",C$4,C$5)</f>
        <v>16.536000000000001</v>
      </c>
      <c r="D62" s="37">
        <f>Assumptions!$H58*IF(LEFT($B62,9)="Baltic C5",D$4,D$5)</f>
        <v>14.468999999999999</v>
      </c>
      <c r="E62" s="37">
        <f>Assumptions!$H58*IF(LEFT($B62,9)="Baltic C5",E$4,E$5)</f>
        <v>12.402000000000001</v>
      </c>
      <c r="F62" s="37">
        <f>Assumptions!$H58*IF(LEFT($B62,9)="Baltic C5",F$4,F$5)</f>
        <v>13.992000000000003</v>
      </c>
      <c r="G62" s="37">
        <f>Assumptions!$H58*IF(LEFT($B62,9)="Baltic C5",G$4,G$5)</f>
        <v>12.879</v>
      </c>
      <c r="H62" s="37">
        <f>Assumptions!$H58*IF(LEFT($B62,9)="Baltic C5",H$4,H$5)</f>
        <v>7.7910000000000013</v>
      </c>
      <c r="I62" s="37">
        <f>Assumptions!$H58*IF(LEFT($B62,9)="Baltic C5",I$4,I$5)</f>
        <v>7.1550000000000002</v>
      </c>
      <c r="J62" s="37">
        <f>Assumptions!$H58*IF(LEFT($B62,9)="Baltic C5",J$4,J$5)</f>
        <v>10.811999999999999</v>
      </c>
      <c r="K62" s="37">
        <f>Assumptions!$H58*IF(LEFT($B62,9)="Baltic C5",K$4,K$5)</f>
        <v>12.084</v>
      </c>
      <c r="L62" s="37">
        <f>Assumptions!$H58*IF(LEFT($B62,9)="Baltic C5",L$4,L$5)</f>
        <v>12.243</v>
      </c>
      <c r="M62" s="37">
        <f>Assumptions!$H58*IF(LEFT($B62,9)="Baltic C5",M$4,M$5)</f>
        <v>10.653</v>
      </c>
      <c r="N62" s="37">
        <f>Assumptions!$H58*IF(LEFT($B62,9)="Baltic C5",N$4,N$5)</f>
        <v>19.239000000000001</v>
      </c>
      <c r="O62" s="37">
        <f>Assumptions!$H58*IF(LEFT($B62,9)="Baltic C5",O$4,O$5)</f>
        <v>15.741000000000001</v>
      </c>
      <c r="P62" s="37">
        <f>Assumptions!$H58*IF(LEFT($B62,9)="Baltic C5",P$4,P$5)</f>
        <v>13.833</v>
      </c>
      <c r="Q62" s="37">
        <f>Assumptions!$H58*IF(LEFT($B62,9)="Baltic C5",Q$4,Q$5)</f>
        <v>16.059000000000001</v>
      </c>
      <c r="R62" s="37">
        <f>Assumptions!$H58*IF(LEFT($B62,9)="Baltic C5",R$4,R$5)</f>
        <v>14.468999999999999</v>
      </c>
      <c r="S62" s="37">
        <f>Assumptions!$H58*IF(LEFT($B62,9)="Baltic C5",S$4,S$5)</f>
        <v>19.875</v>
      </c>
      <c r="T62" s="37">
        <f>Assumptions!$H58*IF(LEFT($B62,9)="Baltic C5",T$4,T$5)</f>
        <v>17.172000000000001</v>
      </c>
      <c r="U62" s="37">
        <f>Assumptions!$H58*IF(LEFT($B62,9)="Baltic C5",U$4,U$5)</f>
        <v>16.218</v>
      </c>
      <c r="V62" s="37">
        <f>Assumptions!$H58*IF(LEFT($B62,9)="Baltic C5",V$4,V$5)</f>
        <v>15.582000000000003</v>
      </c>
      <c r="W62" s="37">
        <f>Assumptions!$H58*IF(LEFT($B62,9)="Baltic C5",W$4,W$5)</f>
        <v>15.9</v>
      </c>
      <c r="X62" s="37">
        <f>Assumptions!$H58*IF(LEFT($B62,9)="Baltic C5",X$4,X$5)</f>
        <v>16.218</v>
      </c>
      <c r="Y62" s="37">
        <f>Assumptions!$H58*IF(LEFT($B62,9)="Baltic C5",Y$4,Y$5)</f>
        <v>16.536000000000001</v>
      </c>
      <c r="Z62" s="37">
        <f>Assumptions!$H58*IF(LEFT($B62,9)="Baltic C5",Z$4,Z$5)</f>
        <v>16.853999999999999</v>
      </c>
      <c r="AA62" s="37">
        <f>Assumptions!$H58*IF(LEFT($B62,9)="Baltic C5",AA$4,AA$5)</f>
        <v>17.172000000000001</v>
      </c>
      <c r="AB62" s="37">
        <f>Assumptions!$H58*IF(LEFT($B62,9)="Baltic C5",AB$4,AB$5)</f>
        <v>17.490000000000002</v>
      </c>
    </row>
    <row r="63" spans="1:28" x14ac:dyDescent="0.2">
      <c r="A63" s="7" t="s">
        <v>141</v>
      </c>
      <c r="B63" s="7" t="s">
        <v>360</v>
      </c>
      <c r="C63" s="37">
        <f>Assumptions!$H59*IF(LEFT($B63,9)="Baltic C5",C$4,C$5)</f>
        <v>16.536000000000001</v>
      </c>
      <c r="D63" s="37">
        <f>Assumptions!$H59*IF(LEFT($B63,9)="Baltic C5",D$4,D$5)</f>
        <v>14.468999999999999</v>
      </c>
      <c r="E63" s="37">
        <f>Assumptions!$H59*IF(LEFT($B63,9)="Baltic C5",E$4,E$5)</f>
        <v>12.402000000000001</v>
      </c>
      <c r="F63" s="37">
        <f>Assumptions!$H59*IF(LEFT($B63,9)="Baltic C5",F$4,F$5)</f>
        <v>13.992000000000003</v>
      </c>
      <c r="G63" s="37">
        <f>Assumptions!$H59*IF(LEFT($B63,9)="Baltic C5",G$4,G$5)</f>
        <v>12.879</v>
      </c>
      <c r="H63" s="37">
        <f>Assumptions!$H59*IF(LEFT($B63,9)="Baltic C5",H$4,H$5)</f>
        <v>7.7910000000000013</v>
      </c>
      <c r="I63" s="37">
        <f>Assumptions!$H59*IF(LEFT($B63,9)="Baltic C5",I$4,I$5)</f>
        <v>7.1550000000000002</v>
      </c>
      <c r="J63" s="37">
        <f>Assumptions!$H59*IF(LEFT($B63,9)="Baltic C5",J$4,J$5)</f>
        <v>10.811999999999999</v>
      </c>
      <c r="K63" s="37">
        <f>Assumptions!$H59*IF(LEFT($B63,9)="Baltic C5",K$4,K$5)</f>
        <v>12.084</v>
      </c>
      <c r="L63" s="37">
        <f>Assumptions!$H59*IF(LEFT($B63,9)="Baltic C5",L$4,L$5)</f>
        <v>12.243</v>
      </c>
      <c r="M63" s="37">
        <f>Assumptions!$H59*IF(LEFT($B63,9)="Baltic C5",M$4,M$5)</f>
        <v>10.653</v>
      </c>
      <c r="N63" s="37">
        <f>Assumptions!$H59*IF(LEFT($B63,9)="Baltic C5",N$4,N$5)</f>
        <v>19.239000000000001</v>
      </c>
      <c r="O63" s="37">
        <f>Assumptions!$H59*IF(LEFT($B63,9)="Baltic C5",O$4,O$5)</f>
        <v>15.741000000000001</v>
      </c>
      <c r="P63" s="37">
        <f>Assumptions!$H59*IF(LEFT($B63,9)="Baltic C5",P$4,P$5)</f>
        <v>13.833</v>
      </c>
      <c r="Q63" s="37">
        <f>Assumptions!$H59*IF(LEFT($B63,9)="Baltic C5",Q$4,Q$5)</f>
        <v>16.059000000000001</v>
      </c>
      <c r="R63" s="37">
        <f>Assumptions!$H59*IF(LEFT($B63,9)="Baltic C5",R$4,R$5)</f>
        <v>14.468999999999999</v>
      </c>
      <c r="S63" s="37">
        <f>Assumptions!$H59*IF(LEFT($B63,9)="Baltic C5",S$4,S$5)</f>
        <v>19.875</v>
      </c>
      <c r="T63" s="37">
        <f>Assumptions!$H59*IF(LEFT($B63,9)="Baltic C5",T$4,T$5)</f>
        <v>17.172000000000001</v>
      </c>
      <c r="U63" s="37">
        <f>Assumptions!$H59*IF(LEFT($B63,9)="Baltic C5",U$4,U$5)</f>
        <v>16.218</v>
      </c>
      <c r="V63" s="37">
        <f>Assumptions!$H59*IF(LEFT($B63,9)="Baltic C5",V$4,V$5)</f>
        <v>15.582000000000003</v>
      </c>
      <c r="W63" s="37">
        <f>Assumptions!$H59*IF(LEFT($B63,9)="Baltic C5",W$4,W$5)</f>
        <v>15.9</v>
      </c>
      <c r="X63" s="37">
        <f>Assumptions!$H59*IF(LEFT($B63,9)="Baltic C5",X$4,X$5)</f>
        <v>16.218</v>
      </c>
      <c r="Y63" s="37">
        <f>Assumptions!$H59*IF(LEFT($B63,9)="Baltic C5",Y$4,Y$5)</f>
        <v>16.536000000000001</v>
      </c>
      <c r="Z63" s="37">
        <f>Assumptions!$H59*IF(LEFT($B63,9)="Baltic C5",Z$4,Z$5)</f>
        <v>16.853999999999999</v>
      </c>
      <c r="AA63" s="37">
        <f>Assumptions!$H59*IF(LEFT($B63,9)="Baltic C5",AA$4,AA$5)</f>
        <v>17.172000000000001</v>
      </c>
      <c r="AB63" s="37">
        <f>Assumptions!$H59*IF(LEFT($B63,9)="Baltic C5",AB$4,AB$5)</f>
        <v>17.490000000000002</v>
      </c>
    </row>
    <row r="64" spans="1:28" x14ac:dyDescent="0.2">
      <c r="A64" s="7" t="s">
        <v>142</v>
      </c>
      <c r="B64" s="7" t="s">
        <v>361</v>
      </c>
      <c r="C64" s="37">
        <f>Assumptions!$H60*IF(LEFT($B64,9)="Baltic C5",C$4,C$5)</f>
        <v>16.224</v>
      </c>
      <c r="D64" s="37">
        <f>Assumptions!$H60*IF(LEFT($B64,9)="Baltic C5",D$4,D$5)</f>
        <v>14.196</v>
      </c>
      <c r="E64" s="37">
        <f>Assumptions!$H60*IF(LEFT($B64,9)="Baltic C5",E$4,E$5)</f>
        <v>12.167999999999999</v>
      </c>
      <c r="F64" s="37">
        <f>Assumptions!$H60*IF(LEFT($B64,9)="Baltic C5",F$4,F$5)</f>
        <v>13.728000000000002</v>
      </c>
      <c r="G64" s="37">
        <f>Assumptions!$H60*IF(LEFT($B64,9)="Baltic C5",G$4,G$5)</f>
        <v>12.635999999999999</v>
      </c>
      <c r="H64" s="37">
        <f>Assumptions!$H60*IF(LEFT($B64,9)="Baltic C5",H$4,H$5)</f>
        <v>7.644000000000001</v>
      </c>
      <c r="I64" s="37">
        <f>Assumptions!$H60*IF(LEFT($B64,9)="Baltic C5",I$4,I$5)</f>
        <v>7.0200000000000005</v>
      </c>
      <c r="J64" s="37">
        <f>Assumptions!$H60*IF(LEFT($B64,9)="Baltic C5",J$4,J$5)</f>
        <v>10.608000000000001</v>
      </c>
      <c r="K64" s="37">
        <f>Assumptions!$H60*IF(LEFT($B64,9)="Baltic C5",K$4,K$5)</f>
        <v>11.856</v>
      </c>
      <c r="L64" s="37">
        <f>Assumptions!$H60*IF(LEFT($B64,9)="Baltic C5",L$4,L$5)</f>
        <v>12.012</v>
      </c>
      <c r="M64" s="37">
        <f>Assumptions!$H60*IF(LEFT($B64,9)="Baltic C5",M$4,M$5)</f>
        <v>10.452</v>
      </c>
      <c r="N64" s="37">
        <f>Assumptions!$H60*IF(LEFT($B64,9)="Baltic C5",N$4,N$5)</f>
        <v>18.876000000000001</v>
      </c>
      <c r="O64" s="37">
        <f>Assumptions!$H60*IF(LEFT($B64,9)="Baltic C5",O$4,O$5)</f>
        <v>15.444000000000001</v>
      </c>
      <c r="P64" s="37">
        <f>Assumptions!$H60*IF(LEFT($B64,9)="Baltic C5",P$4,P$5)</f>
        <v>13.571999999999999</v>
      </c>
      <c r="Q64" s="37">
        <f>Assumptions!$H60*IF(LEFT($B64,9)="Baltic C5",Q$4,Q$5)</f>
        <v>15.756</v>
      </c>
      <c r="R64" s="37">
        <f>Assumptions!$H60*IF(LEFT($B64,9)="Baltic C5",R$4,R$5)</f>
        <v>14.196</v>
      </c>
      <c r="S64" s="37">
        <f>Assumptions!$H60*IF(LEFT($B64,9)="Baltic C5",S$4,S$5)</f>
        <v>19.5</v>
      </c>
      <c r="T64" s="37">
        <f>Assumptions!$H60*IF(LEFT($B64,9)="Baltic C5",T$4,T$5)</f>
        <v>16.848000000000003</v>
      </c>
      <c r="U64" s="37">
        <f>Assumptions!$H60*IF(LEFT($B64,9)="Baltic C5",U$4,U$5)</f>
        <v>15.911999999999999</v>
      </c>
      <c r="V64" s="37">
        <f>Assumptions!$H60*IF(LEFT($B64,9)="Baltic C5",V$4,V$5)</f>
        <v>15.288000000000002</v>
      </c>
      <c r="W64" s="37">
        <f>Assumptions!$H60*IF(LEFT($B64,9)="Baltic C5",W$4,W$5)</f>
        <v>15.600000000000001</v>
      </c>
      <c r="X64" s="37">
        <f>Assumptions!$H60*IF(LEFT($B64,9)="Baltic C5",X$4,X$5)</f>
        <v>15.911999999999999</v>
      </c>
      <c r="Y64" s="37">
        <f>Assumptions!$H60*IF(LEFT($B64,9)="Baltic C5",Y$4,Y$5)</f>
        <v>16.224</v>
      </c>
      <c r="Z64" s="37">
        <f>Assumptions!$H60*IF(LEFT($B64,9)="Baltic C5",Z$4,Z$5)</f>
        <v>16.536000000000001</v>
      </c>
      <c r="AA64" s="37">
        <f>Assumptions!$H60*IF(LEFT($B64,9)="Baltic C5",AA$4,AA$5)</f>
        <v>16.848000000000003</v>
      </c>
      <c r="AB64" s="37">
        <f>Assumptions!$H60*IF(LEFT($B64,9)="Baltic C5",AB$4,AB$5)</f>
        <v>17.16</v>
      </c>
    </row>
    <row r="65" spans="1:28" x14ac:dyDescent="0.2">
      <c r="A65" s="7" t="s">
        <v>143</v>
      </c>
      <c r="B65" s="7" t="s">
        <v>363</v>
      </c>
      <c r="C65" s="37">
        <f>Assumptions!$H61*IF(LEFT($B65,9)="Baltic C5",C$4,C$5)</f>
        <v>10.192</v>
      </c>
      <c r="D65" s="37">
        <f>Assumptions!$H61*IF(LEFT($B65,9)="Baltic C5",D$4,D$5)</f>
        <v>8.9179999999999993</v>
      </c>
      <c r="E65" s="37">
        <f>Assumptions!$H61*IF(LEFT($B65,9)="Baltic C5",E$4,E$5)</f>
        <v>7.6440000000000001</v>
      </c>
      <c r="F65" s="37">
        <f>Assumptions!$H61*IF(LEFT($B65,9)="Baltic C5",F$4,F$5)</f>
        <v>8.6240000000000006</v>
      </c>
      <c r="G65" s="37">
        <f>Assumptions!$H61*IF(LEFT($B65,9)="Baltic C5",G$4,G$5)</f>
        <v>7.9379999999999997</v>
      </c>
      <c r="H65" s="37">
        <f>Assumptions!$H61*IF(LEFT($B65,9)="Baltic C5",H$4,H$5)</f>
        <v>4.8020000000000005</v>
      </c>
      <c r="I65" s="37">
        <f>Assumptions!$H61*IF(LEFT($B65,9)="Baltic C5",I$4,I$5)</f>
        <v>4.41</v>
      </c>
      <c r="J65" s="37">
        <f>Assumptions!$H61*IF(LEFT($B65,9)="Baltic C5",J$4,J$5)</f>
        <v>6.6639999999999997</v>
      </c>
      <c r="K65" s="37">
        <f>Assumptions!$H61*IF(LEFT($B65,9)="Baltic C5",K$4,K$5)</f>
        <v>7.4479999999999995</v>
      </c>
      <c r="L65" s="37">
        <f>Assumptions!$H61*IF(LEFT($B65,9)="Baltic C5",L$4,L$5)</f>
        <v>7.5460000000000003</v>
      </c>
      <c r="M65" s="37">
        <f>Assumptions!$H61*IF(LEFT($B65,9)="Baltic C5",M$4,M$5)</f>
        <v>6.5659999999999998</v>
      </c>
      <c r="N65" s="37">
        <f>Assumptions!$H61*IF(LEFT($B65,9)="Baltic C5",N$4,N$5)</f>
        <v>11.857999999999999</v>
      </c>
      <c r="O65" s="37">
        <f>Assumptions!$H61*IF(LEFT($B65,9)="Baltic C5",O$4,O$5)</f>
        <v>9.702</v>
      </c>
      <c r="P65" s="37">
        <f>Assumptions!$H61*IF(LEFT($B65,9)="Baltic C5",P$4,P$5)</f>
        <v>8.5259999999999998</v>
      </c>
      <c r="Q65" s="37">
        <f>Assumptions!$H61*IF(LEFT($B65,9)="Baltic C5",Q$4,Q$5)</f>
        <v>9.8979999999999997</v>
      </c>
      <c r="R65" s="37">
        <f>Assumptions!$H61*IF(LEFT($B65,9)="Baltic C5",R$4,R$5)</f>
        <v>8.9179999999999993</v>
      </c>
      <c r="S65" s="37">
        <f>Assumptions!$H61*IF(LEFT($B65,9)="Baltic C5",S$4,S$5)</f>
        <v>12.25</v>
      </c>
      <c r="T65" s="37">
        <f>Assumptions!$H61*IF(LEFT($B65,9)="Baltic C5",T$4,T$5)</f>
        <v>10.584</v>
      </c>
      <c r="U65" s="37">
        <f>Assumptions!$H61*IF(LEFT($B65,9)="Baltic C5",U$4,U$5)</f>
        <v>9.9959999999999987</v>
      </c>
      <c r="V65" s="37">
        <f>Assumptions!$H61*IF(LEFT($B65,9)="Baltic C5",V$4,V$5)</f>
        <v>9.604000000000001</v>
      </c>
      <c r="W65" s="37">
        <f>Assumptions!$H61*IF(LEFT($B65,9)="Baltic C5",W$4,W$5)</f>
        <v>9.8000000000000007</v>
      </c>
      <c r="X65" s="37">
        <f>Assumptions!$H61*IF(LEFT($B65,9)="Baltic C5",X$4,X$5)</f>
        <v>9.9959999999999987</v>
      </c>
      <c r="Y65" s="37">
        <f>Assumptions!$H61*IF(LEFT($B65,9)="Baltic C5",Y$4,Y$5)</f>
        <v>10.192</v>
      </c>
      <c r="Z65" s="37">
        <f>Assumptions!$H61*IF(LEFT($B65,9)="Baltic C5",Z$4,Z$5)</f>
        <v>10.388</v>
      </c>
      <c r="AA65" s="37">
        <f>Assumptions!$H61*IF(LEFT($B65,9)="Baltic C5",AA$4,AA$5)</f>
        <v>10.584</v>
      </c>
      <c r="AB65" s="37">
        <f>Assumptions!$H61*IF(LEFT($B65,9)="Baltic C5",AB$4,AB$5)</f>
        <v>10.78</v>
      </c>
    </row>
    <row r="66" spans="1:28" x14ac:dyDescent="0.2">
      <c r="A66" s="7" t="s">
        <v>144</v>
      </c>
      <c r="B66" s="7" t="s">
        <v>362</v>
      </c>
      <c r="C66" s="37">
        <f>Assumptions!$H62*IF(LEFT($B66,9)="Baltic C5",C$4,C$5)</f>
        <v>9.7759999999999998</v>
      </c>
      <c r="D66" s="37">
        <f>Assumptions!$H62*IF(LEFT($B66,9)="Baltic C5",D$4,D$5)</f>
        <v>8.5539999999999985</v>
      </c>
      <c r="E66" s="37">
        <f>Assumptions!$H62*IF(LEFT($B66,9)="Baltic C5",E$4,E$5)</f>
        <v>7.3319999999999999</v>
      </c>
      <c r="F66" s="37">
        <f>Assumptions!$H62*IF(LEFT($B66,9)="Baltic C5",F$4,F$5)</f>
        <v>8.2720000000000002</v>
      </c>
      <c r="G66" s="37">
        <f>Assumptions!$H62*IF(LEFT($B66,9)="Baltic C5",G$4,G$5)</f>
        <v>7.613999999999999</v>
      </c>
      <c r="H66" s="37">
        <f>Assumptions!$H62*IF(LEFT($B66,9)="Baltic C5",H$4,H$5)</f>
        <v>4.6059999999999999</v>
      </c>
      <c r="I66" s="37">
        <f>Assumptions!$H62*IF(LEFT($B66,9)="Baltic C5",I$4,I$5)</f>
        <v>4.2299999999999995</v>
      </c>
      <c r="J66" s="37">
        <f>Assumptions!$H62*IF(LEFT($B66,9)="Baltic C5",J$4,J$5)</f>
        <v>6.3919999999999995</v>
      </c>
      <c r="K66" s="37">
        <f>Assumptions!$H62*IF(LEFT($B66,9)="Baltic C5",K$4,K$5)</f>
        <v>7.1439999999999992</v>
      </c>
      <c r="L66" s="37">
        <f>Assumptions!$H62*IF(LEFT($B66,9)="Baltic C5",L$4,L$5)</f>
        <v>7.2379999999999995</v>
      </c>
      <c r="M66" s="37">
        <f>Assumptions!$H62*IF(LEFT($B66,9)="Baltic C5",M$4,M$5)</f>
        <v>6.298</v>
      </c>
      <c r="N66" s="37">
        <f>Assumptions!$H62*IF(LEFT($B66,9)="Baltic C5",N$4,N$5)</f>
        <v>11.373999999999999</v>
      </c>
      <c r="O66" s="37">
        <f>Assumptions!$H62*IF(LEFT($B66,9)="Baltic C5",O$4,O$5)</f>
        <v>9.3059999999999992</v>
      </c>
      <c r="P66" s="37">
        <f>Assumptions!$H62*IF(LEFT($B66,9)="Baltic C5",P$4,P$5)</f>
        <v>8.177999999999999</v>
      </c>
      <c r="Q66" s="37">
        <f>Assumptions!$H62*IF(LEFT($B66,9)="Baltic C5",Q$4,Q$5)</f>
        <v>9.4939999999999998</v>
      </c>
      <c r="R66" s="37">
        <f>Assumptions!$H62*IF(LEFT($B66,9)="Baltic C5",R$4,R$5)</f>
        <v>8.5539999999999985</v>
      </c>
      <c r="S66" s="37">
        <f>Assumptions!$H62*IF(LEFT($B66,9)="Baltic C5",S$4,S$5)</f>
        <v>11.75</v>
      </c>
      <c r="T66" s="37">
        <f>Assumptions!$H62*IF(LEFT($B66,9)="Baltic C5",T$4,T$5)</f>
        <v>10.151999999999999</v>
      </c>
      <c r="U66" s="37">
        <f>Assumptions!$H62*IF(LEFT($B66,9)="Baltic C5",U$4,U$5)</f>
        <v>9.5879999999999992</v>
      </c>
      <c r="V66" s="37">
        <f>Assumptions!$H62*IF(LEFT($B66,9)="Baltic C5",V$4,V$5)</f>
        <v>9.2119999999999997</v>
      </c>
      <c r="W66" s="37">
        <f>Assumptions!$H62*IF(LEFT($B66,9)="Baltic C5",W$4,W$5)</f>
        <v>9.3999999999999986</v>
      </c>
      <c r="X66" s="37">
        <f>Assumptions!$H62*IF(LEFT($B66,9)="Baltic C5",X$4,X$5)</f>
        <v>9.5879999999999992</v>
      </c>
      <c r="Y66" s="37">
        <f>Assumptions!$H62*IF(LEFT($B66,9)="Baltic C5",Y$4,Y$5)</f>
        <v>9.7759999999999998</v>
      </c>
      <c r="Z66" s="37">
        <f>Assumptions!$H62*IF(LEFT($B66,9)="Baltic C5",Z$4,Z$5)</f>
        <v>9.9639999999999986</v>
      </c>
      <c r="AA66" s="37">
        <f>Assumptions!$H62*IF(LEFT($B66,9)="Baltic C5",AA$4,AA$5)</f>
        <v>10.151999999999999</v>
      </c>
      <c r="AB66" s="37">
        <f>Assumptions!$H62*IF(LEFT($B66,9)="Baltic C5",AB$4,AB$5)</f>
        <v>10.34</v>
      </c>
    </row>
    <row r="67" spans="1:28" x14ac:dyDescent="0.2">
      <c r="A67" s="7" t="s">
        <v>145</v>
      </c>
      <c r="B67" s="7" t="s">
        <v>362</v>
      </c>
      <c r="C67" s="37">
        <f>Assumptions!$H63*IF(LEFT($B67,9)="Baltic C5",C$4,C$5)</f>
        <v>9.7759999999999998</v>
      </c>
      <c r="D67" s="37">
        <f>Assumptions!$H63*IF(LEFT($B67,9)="Baltic C5",D$4,D$5)</f>
        <v>8.5539999999999985</v>
      </c>
      <c r="E67" s="37">
        <f>Assumptions!$H63*IF(LEFT($B67,9)="Baltic C5",E$4,E$5)</f>
        <v>7.3319999999999999</v>
      </c>
      <c r="F67" s="37">
        <f>Assumptions!$H63*IF(LEFT($B67,9)="Baltic C5",F$4,F$5)</f>
        <v>8.2720000000000002</v>
      </c>
      <c r="G67" s="37">
        <f>Assumptions!$H63*IF(LEFT($B67,9)="Baltic C5",G$4,G$5)</f>
        <v>7.613999999999999</v>
      </c>
      <c r="H67" s="37">
        <f>Assumptions!$H63*IF(LEFT($B67,9)="Baltic C5",H$4,H$5)</f>
        <v>4.6059999999999999</v>
      </c>
      <c r="I67" s="37">
        <f>Assumptions!$H63*IF(LEFT($B67,9)="Baltic C5",I$4,I$5)</f>
        <v>4.2299999999999995</v>
      </c>
      <c r="J67" s="37">
        <f>Assumptions!$H63*IF(LEFT($B67,9)="Baltic C5",J$4,J$5)</f>
        <v>6.3919999999999995</v>
      </c>
      <c r="K67" s="37">
        <f>Assumptions!$H63*IF(LEFT($B67,9)="Baltic C5",K$4,K$5)</f>
        <v>7.1439999999999992</v>
      </c>
      <c r="L67" s="37">
        <f>Assumptions!$H63*IF(LEFT($B67,9)="Baltic C5",L$4,L$5)</f>
        <v>7.2379999999999995</v>
      </c>
      <c r="M67" s="37">
        <f>Assumptions!$H63*IF(LEFT($B67,9)="Baltic C5",M$4,M$5)</f>
        <v>6.298</v>
      </c>
      <c r="N67" s="37">
        <f>Assumptions!$H63*IF(LEFT($B67,9)="Baltic C5",N$4,N$5)</f>
        <v>11.373999999999999</v>
      </c>
      <c r="O67" s="37">
        <f>Assumptions!$H63*IF(LEFT($B67,9)="Baltic C5",O$4,O$5)</f>
        <v>9.3059999999999992</v>
      </c>
      <c r="P67" s="37">
        <f>Assumptions!$H63*IF(LEFT($B67,9)="Baltic C5",P$4,P$5)</f>
        <v>8.177999999999999</v>
      </c>
      <c r="Q67" s="37">
        <f>Assumptions!$H63*IF(LEFT($B67,9)="Baltic C5",Q$4,Q$5)</f>
        <v>9.4939999999999998</v>
      </c>
      <c r="R67" s="37">
        <f>Assumptions!$H63*IF(LEFT($B67,9)="Baltic C5",R$4,R$5)</f>
        <v>8.5539999999999985</v>
      </c>
      <c r="S67" s="37">
        <f>Assumptions!$H63*IF(LEFT($B67,9)="Baltic C5",S$4,S$5)</f>
        <v>11.75</v>
      </c>
      <c r="T67" s="37">
        <f>Assumptions!$H63*IF(LEFT($B67,9)="Baltic C5",T$4,T$5)</f>
        <v>10.151999999999999</v>
      </c>
      <c r="U67" s="37">
        <f>Assumptions!$H63*IF(LEFT($B67,9)="Baltic C5",U$4,U$5)</f>
        <v>9.5879999999999992</v>
      </c>
      <c r="V67" s="37">
        <f>Assumptions!$H63*IF(LEFT($B67,9)="Baltic C5",V$4,V$5)</f>
        <v>9.2119999999999997</v>
      </c>
      <c r="W67" s="37">
        <f>Assumptions!$H63*IF(LEFT($B67,9)="Baltic C5",W$4,W$5)</f>
        <v>9.3999999999999986</v>
      </c>
      <c r="X67" s="37">
        <f>Assumptions!$H63*IF(LEFT($B67,9)="Baltic C5",X$4,X$5)</f>
        <v>9.5879999999999992</v>
      </c>
      <c r="Y67" s="37">
        <f>Assumptions!$H63*IF(LEFT($B67,9)="Baltic C5",Y$4,Y$5)</f>
        <v>9.7759999999999998</v>
      </c>
      <c r="Z67" s="37">
        <f>Assumptions!$H63*IF(LEFT($B67,9)="Baltic C5",Z$4,Z$5)</f>
        <v>9.9639999999999986</v>
      </c>
      <c r="AA67" s="37">
        <f>Assumptions!$H63*IF(LEFT($B67,9)="Baltic C5",AA$4,AA$5)</f>
        <v>10.151999999999999</v>
      </c>
      <c r="AB67" s="37">
        <f>Assumptions!$H63*IF(LEFT($B67,9)="Baltic C5",AB$4,AB$5)</f>
        <v>10.34</v>
      </c>
    </row>
    <row r="68" spans="1:28" x14ac:dyDescent="0.2">
      <c r="A68" s="7" t="s">
        <v>316</v>
      </c>
      <c r="B68" s="7" t="s">
        <v>365</v>
      </c>
      <c r="C68" s="37">
        <f>Assumptions!$H64*IF(LEFT($B68,9)="Baltic C5",C$4,C$5)</f>
        <v>32.75</v>
      </c>
      <c r="D68" s="37">
        <f>Assumptions!$H64*IF(LEFT($B68,9)="Baltic C5",D$4,D$5)</f>
        <v>28.125</v>
      </c>
      <c r="E68" s="37">
        <f>Assumptions!$H64*IF(LEFT($B68,9)="Baltic C5",E$4,E$5)</f>
        <v>24.625</v>
      </c>
      <c r="F68" s="37">
        <f>Assumptions!$H64*IF(LEFT($B68,9)="Baltic C5",F$4,F$5)</f>
        <v>26.375</v>
      </c>
      <c r="G68" s="37">
        <f>Assumptions!$H64*IF(LEFT($B68,9)="Baltic C5",G$4,G$5)</f>
        <v>25.75</v>
      </c>
      <c r="H68" s="37">
        <f>Assumptions!$H64*IF(LEFT($B68,9)="Baltic C5",H$4,H$5)</f>
        <v>14</v>
      </c>
      <c r="I68" s="37">
        <f>Assumptions!$H64*IF(LEFT($B68,9)="Baltic C5",I$4,I$5)</f>
        <v>11.375</v>
      </c>
      <c r="J68" s="37">
        <f>Assumptions!$H64*IF(LEFT($B68,9)="Baltic C5",J$4,J$5)</f>
        <v>19</v>
      </c>
      <c r="K68" s="37">
        <f>Assumptions!$H64*IF(LEFT($B68,9)="Baltic C5",K$4,K$5)</f>
        <v>23</v>
      </c>
      <c r="L68" s="37">
        <f>Assumptions!$H64*IF(LEFT($B68,9)="Baltic C5",L$4,L$5)</f>
        <v>23.25</v>
      </c>
      <c r="M68" s="37">
        <f>Assumptions!$H64*IF(LEFT($B68,9)="Baltic C5",M$4,M$5)</f>
        <v>18.5</v>
      </c>
      <c r="N68" s="37">
        <f>Assumptions!$H64*IF(LEFT($B68,9)="Baltic C5",N$4,N$5)</f>
        <v>33.375</v>
      </c>
      <c r="O68" s="37">
        <f>Assumptions!$H64*IF(LEFT($B68,9)="Baltic C5",O$4,O$5)</f>
        <v>30</v>
      </c>
      <c r="P68" s="37">
        <f>Assumptions!$H64*IF(LEFT($B68,9)="Baltic C5",P$4,P$5)</f>
        <v>26.25</v>
      </c>
      <c r="Q68" s="37">
        <f>Assumptions!$H64*IF(LEFT($B68,9)="Baltic C5",Q$4,Q$5)</f>
        <v>31.25</v>
      </c>
      <c r="R68" s="37">
        <f>Assumptions!$H64*IF(LEFT($B68,9)="Baltic C5",R$4,R$5)</f>
        <v>27.375</v>
      </c>
      <c r="S68" s="37">
        <f>Assumptions!$H64*IF(LEFT($B68,9)="Baltic C5",S$4,S$5)</f>
        <v>38.75</v>
      </c>
      <c r="T68" s="37">
        <f>Assumptions!$H64*IF(LEFT($B68,9)="Baltic C5",T$4,T$5)</f>
        <v>31.875</v>
      </c>
      <c r="U68" s="37">
        <f>Assumptions!$H64*IF(LEFT($B68,9)="Baltic C5",U$4,U$5)</f>
        <v>29</v>
      </c>
      <c r="V68" s="37">
        <f>Assumptions!$H64*IF(LEFT($B68,9)="Baltic C5",V$4,V$5)</f>
        <v>27.25</v>
      </c>
      <c r="W68" s="37">
        <f>Assumptions!$H64*IF(LEFT($B68,9)="Baltic C5",W$4,W$5)</f>
        <v>27.75</v>
      </c>
      <c r="X68" s="37">
        <f>Assumptions!$H64*IF(LEFT($B68,9)="Baltic C5",X$4,X$5)</f>
        <v>28.375</v>
      </c>
      <c r="Y68" s="37">
        <f>Assumptions!$H64*IF(LEFT($B68,9)="Baltic C5",Y$4,Y$5)</f>
        <v>28.875</v>
      </c>
      <c r="Z68" s="37">
        <f>Assumptions!$H64*IF(LEFT($B68,9)="Baltic C5",Z$4,Z$5)</f>
        <v>29.5</v>
      </c>
      <c r="AA68" s="37">
        <f>Assumptions!$H64*IF(LEFT($B68,9)="Baltic C5",AA$4,AA$5)</f>
        <v>30.125</v>
      </c>
      <c r="AB68" s="37">
        <f>Assumptions!$H64*IF(LEFT($B68,9)="Baltic C5",AB$4,AB$5)</f>
        <v>30.75</v>
      </c>
    </row>
    <row r="69" spans="1:28" x14ac:dyDescent="0.2">
      <c r="A69" s="7" t="s">
        <v>289</v>
      </c>
      <c r="B69" s="7" t="s">
        <v>364</v>
      </c>
      <c r="C69" s="37">
        <f>Assumptions!$H65*IF(LEFT($B69,9)="Baltic C5",C$4,C$5)</f>
        <v>18.602</v>
      </c>
      <c r="D69" s="37">
        <f>Assumptions!$H65*IF(LEFT($B69,9)="Baltic C5",D$4,D$5)</f>
        <v>15.975</v>
      </c>
      <c r="E69" s="37">
        <f>Assumptions!$H65*IF(LEFT($B69,9)="Baltic C5",E$4,E$5)</f>
        <v>13.986999999999998</v>
      </c>
      <c r="F69" s="37">
        <f>Assumptions!$H65*IF(LEFT($B69,9)="Baltic C5",F$4,F$5)</f>
        <v>14.981</v>
      </c>
      <c r="G69" s="37">
        <f>Assumptions!$H65*IF(LEFT($B69,9)="Baltic C5",G$4,G$5)</f>
        <v>14.625999999999999</v>
      </c>
      <c r="H69" s="37">
        <f>Assumptions!$H65*IF(LEFT($B69,9)="Baltic C5",H$4,H$5)</f>
        <v>7.9519999999999991</v>
      </c>
      <c r="I69" s="37">
        <f>Assumptions!$H65*IF(LEFT($B69,9)="Baltic C5",I$4,I$5)</f>
        <v>6.4609999999999994</v>
      </c>
      <c r="J69" s="37">
        <f>Assumptions!$H65*IF(LEFT($B69,9)="Baltic C5",J$4,J$5)</f>
        <v>10.792</v>
      </c>
      <c r="K69" s="37">
        <f>Assumptions!$H65*IF(LEFT($B69,9)="Baltic C5",K$4,K$5)</f>
        <v>13.063999999999998</v>
      </c>
      <c r="L69" s="37">
        <f>Assumptions!$H65*IF(LEFT($B69,9)="Baltic C5",L$4,L$5)</f>
        <v>13.206</v>
      </c>
      <c r="M69" s="37">
        <f>Assumptions!$H65*IF(LEFT($B69,9)="Baltic C5",M$4,M$5)</f>
        <v>10.507999999999999</v>
      </c>
      <c r="N69" s="37">
        <f>Assumptions!$H65*IF(LEFT($B69,9)="Baltic C5",N$4,N$5)</f>
        <v>18.956999999999997</v>
      </c>
      <c r="O69" s="37">
        <f>Assumptions!$H65*IF(LEFT($B69,9)="Baltic C5",O$4,O$5)</f>
        <v>17.04</v>
      </c>
      <c r="P69" s="37">
        <f>Assumptions!$H65*IF(LEFT($B69,9)="Baltic C5",P$4,P$5)</f>
        <v>14.91</v>
      </c>
      <c r="Q69" s="37">
        <f>Assumptions!$H65*IF(LEFT($B69,9)="Baltic C5",Q$4,Q$5)</f>
        <v>17.75</v>
      </c>
      <c r="R69" s="37">
        <f>Assumptions!$H65*IF(LEFT($B69,9)="Baltic C5",R$4,R$5)</f>
        <v>15.548999999999998</v>
      </c>
      <c r="S69" s="37">
        <f>Assumptions!$H65*IF(LEFT($B69,9)="Baltic C5",S$4,S$5)</f>
        <v>22.009999999999998</v>
      </c>
      <c r="T69" s="37">
        <f>Assumptions!$H65*IF(LEFT($B69,9)="Baltic C5",T$4,T$5)</f>
        <v>18.105</v>
      </c>
      <c r="U69" s="37">
        <f>Assumptions!$H65*IF(LEFT($B69,9)="Baltic C5",U$4,U$5)</f>
        <v>16.471999999999998</v>
      </c>
      <c r="V69" s="37">
        <f>Assumptions!$H65*IF(LEFT($B69,9)="Baltic C5",V$4,V$5)</f>
        <v>15.478</v>
      </c>
      <c r="W69" s="37">
        <f>Assumptions!$H65*IF(LEFT($B69,9)="Baltic C5",W$4,W$5)</f>
        <v>15.761999999999999</v>
      </c>
      <c r="X69" s="37">
        <f>Assumptions!$H65*IF(LEFT($B69,9)="Baltic C5",X$4,X$5)</f>
        <v>16.116999999999997</v>
      </c>
      <c r="Y69" s="37">
        <f>Assumptions!$H65*IF(LEFT($B69,9)="Baltic C5",Y$4,Y$5)</f>
        <v>16.401</v>
      </c>
      <c r="Z69" s="37">
        <f>Assumptions!$H65*IF(LEFT($B69,9)="Baltic C5",Z$4,Z$5)</f>
        <v>16.756</v>
      </c>
      <c r="AA69" s="37">
        <f>Assumptions!$H65*IF(LEFT($B69,9)="Baltic C5",AA$4,AA$5)</f>
        <v>17.111000000000001</v>
      </c>
      <c r="AB69" s="37">
        <f>Assumptions!$H65*IF(LEFT($B69,9)="Baltic C5",AB$4,AB$5)</f>
        <v>17.466000000000001</v>
      </c>
    </row>
    <row r="70" spans="1:28" x14ac:dyDescent="0.2">
      <c r="A70" s="7" t="s">
        <v>292</v>
      </c>
      <c r="B70" s="7" t="s">
        <v>366</v>
      </c>
      <c r="C70" s="37">
        <f>Assumptions!$H66*IF(LEFT($B70,9)="Baltic C5",C$4,C$5)</f>
        <v>51.613999999999997</v>
      </c>
      <c r="D70" s="37">
        <f>Assumptions!$H66*IF(LEFT($B70,9)="Baltic C5",D$4,D$5)</f>
        <v>44.325000000000003</v>
      </c>
      <c r="E70" s="37">
        <f>Assumptions!$H66*IF(LEFT($B70,9)="Baltic C5",E$4,E$5)</f>
        <v>38.808999999999997</v>
      </c>
      <c r="F70" s="37">
        <f>Assumptions!$H66*IF(LEFT($B70,9)="Baltic C5",F$4,F$5)</f>
        <v>41.567</v>
      </c>
      <c r="G70" s="37">
        <f>Assumptions!$H66*IF(LEFT($B70,9)="Baltic C5",G$4,G$5)</f>
        <v>40.582000000000001</v>
      </c>
      <c r="H70" s="37">
        <f>Assumptions!$H66*IF(LEFT($B70,9)="Baltic C5",H$4,H$5)</f>
        <v>22.064</v>
      </c>
      <c r="I70" s="37">
        <f>Assumptions!$H66*IF(LEFT($B70,9)="Baltic C5",I$4,I$5)</f>
        <v>17.927</v>
      </c>
      <c r="J70" s="37">
        <f>Assumptions!$H66*IF(LEFT($B70,9)="Baltic C5",J$4,J$5)</f>
        <v>29.943999999999999</v>
      </c>
      <c r="K70" s="37">
        <f>Assumptions!$H66*IF(LEFT($B70,9)="Baltic C5",K$4,K$5)</f>
        <v>36.247999999999998</v>
      </c>
      <c r="L70" s="37">
        <f>Assumptions!$H66*IF(LEFT($B70,9)="Baltic C5",L$4,L$5)</f>
        <v>36.642000000000003</v>
      </c>
      <c r="M70" s="37">
        <f>Assumptions!$H66*IF(LEFT($B70,9)="Baltic C5",M$4,M$5)</f>
        <v>29.156000000000002</v>
      </c>
      <c r="N70" s="37">
        <f>Assumptions!$H66*IF(LEFT($B70,9)="Baltic C5",N$4,N$5)</f>
        <v>52.598999999999997</v>
      </c>
      <c r="O70" s="37">
        <f>Assumptions!$H66*IF(LEFT($B70,9)="Baltic C5",O$4,O$5)</f>
        <v>47.28</v>
      </c>
      <c r="P70" s="37">
        <f>Assumptions!$H66*IF(LEFT($B70,9)="Baltic C5",P$4,P$5)</f>
        <v>41.37</v>
      </c>
      <c r="Q70" s="37">
        <f>Assumptions!$H66*IF(LEFT($B70,9)="Baltic C5",Q$4,Q$5)</f>
        <v>49.25</v>
      </c>
      <c r="R70" s="37">
        <f>Assumptions!$H66*IF(LEFT($B70,9)="Baltic C5",R$4,R$5)</f>
        <v>43.142999999999994</v>
      </c>
      <c r="S70" s="37">
        <f>Assumptions!$H66*IF(LEFT($B70,9)="Baltic C5",S$4,S$5)</f>
        <v>61.07</v>
      </c>
      <c r="T70" s="37">
        <f>Assumptions!$H66*IF(LEFT($B70,9)="Baltic C5",T$4,T$5)</f>
        <v>50.234999999999999</v>
      </c>
      <c r="U70" s="37">
        <f>Assumptions!$H66*IF(LEFT($B70,9)="Baltic C5",U$4,U$5)</f>
        <v>45.704000000000001</v>
      </c>
      <c r="V70" s="37">
        <f>Assumptions!$H66*IF(LEFT($B70,9)="Baltic C5",V$4,V$5)</f>
        <v>42.945999999999998</v>
      </c>
      <c r="W70" s="37">
        <f>Assumptions!$H66*IF(LEFT($B70,9)="Baltic C5",W$4,W$5)</f>
        <v>43.733999999999995</v>
      </c>
      <c r="X70" s="37">
        <f>Assumptions!$H66*IF(LEFT($B70,9)="Baltic C5",X$4,X$5)</f>
        <v>44.719000000000001</v>
      </c>
      <c r="Y70" s="37">
        <f>Assumptions!$H66*IF(LEFT($B70,9)="Baltic C5",Y$4,Y$5)</f>
        <v>45.507000000000005</v>
      </c>
      <c r="Z70" s="37">
        <f>Assumptions!$H66*IF(LEFT($B70,9)="Baltic C5",Z$4,Z$5)</f>
        <v>46.492000000000004</v>
      </c>
      <c r="AA70" s="37">
        <f>Assumptions!$H66*IF(LEFT($B70,9)="Baltic C5",AA$4,AA$5)</f>
        <v>47.477000000000004</v>
      </c>
      <c r="AB70" s="37">
        <f>Assumptions!$H66*IF(LEFT($B70,9)="Baltic C5",AB$4,AB$5)</f>
        <v>48.462000000000003</v>
      </c>
    </row>
    <row r="71" spans="1:28" x14ac:dyDescent="0.2">
      <c r="A71" s="7" t="s">
        <v>298</v>
      </c>
      <c r="B71" s="7" t="s">
        <v>369</v>
      </c>
      <c r="C71" s="37">
        <f>Assumptions!$H67*IF(LEFT($B71,9)="Baltic C5",C$4,C$5)</f>
        <v>21.222000000000001</v>
      </c>
      <c r="D71" s="37">
        <f>Assumptions!$H67*IF(LEFT($B71,9)="Baltic C5",D$4,D$5)</f>
        <v>18.225000000000001</v>
      </c>
      <c r="E71" s="37">
        <f>Assumptions!$H67*IF(LEFT($B71,9)="Baltic C5",E$4,E$5)</f>
        <v>15.957000000000001</v>
      </c>
      <c r="F71" s="37">
        <f>Assumptions!$H67*IF(LEFT($B71,9)="Baltic C5",F$4,F$5)</f>
        <v>17.091000000000001</v>
      </c>
      <c r="G71" s="37">
        <f>Assumptions!$H67*IF(LEFT($B71,9)="Baltic C5",G$4,G$5)</f>
        <v>16.686000000000003</v>
      </c>
      <c r="H71" s="37">
        <f>Assumptions!$H67*IF(LEFT($B71,9)="Baltic C5",H$4,H$5)</f>
        <v>9.0719999999999992</v>
      </c>
      <c r="I71" s="37">
        <f>Assumptions!$H67*IF(LEFT($B71,9)="Baltic C5",I$4,I$5)</f>
        <v>7.3710000000000004</v>
      </c>
      <c r="J71" s="37">
        <f>Assumptions!$H67*IF(LEFT($B71,9)="Baltic C5",J$4,J$5)</f>
        <v>12.311999999999999</v>
      </c>
      <c r="K71" s="37">
        <f>Assumptions!$H67*IF(LEFT($B71,9)="Baltic C5",K$4,K$5)</f>
        <v>14.904</v>
      </c>
      <c r="L71" s="37">
        <f>Assumptions!$H67*IF(LEFT($B71,9)="Baltic C5",L$4,L$5)</f>
        <v>15.066000000000003</v>
      </c>
      <c r="M71" s="37">
        <f>Assumptions!$H67*IF(LEFT($B71,9)="Baltic C5",M$4,M$5)</f>
        <v>11.988000000000001</v>
      </c>
      <c r="N71" s="37">
        <f>Assumptions!$H67*IF(LEFT($B71,9)="Baltic C5",N$4,N$5)</f>
        <v>21.627000000000002</v>
      </c>
      <c r="O71" s="37">
        <f>Assumptions!$H67*IF(LEFT($B71,9)="Baltic C5",O$4,O$5)</f>
        <v>19.440000000000001</v>
      </c>
      <c r="P71" s="37">
        <f>Assumptions!$H67*IF(LEFT($B71,9)="Baltic C5",P$4,P$5)</f>
        <v>17.010000000000002</v>
      </c>
      <c r="Q71" s="37">
        <f>Assumptions!$H67*IF(LEFT($B71,9)="Baltic C5",Q$4,Q$5)</f>
        <v>20.25</v>
      </c>
      <c r="R71" s="37">
        <f>Assumptions!$H67*IF(LEFT($B71,9)="Baltic C5",R$4,R$5)</f>
        <v>17.739000000000001</v>
      </c>
      <c r="S71" s="37">
        <f>Assumptions!$H67*IF(LEFT($B71,9)="Baltic C5",S$4,S$5)</f>
        <v>25.110000000000003</v>
      </c>
      <c r="T71" s="37">
        <f>Assumptions!$H67*IF(LEFT($B71,9)="Baltic C5",T$4,T$5)</f>
        <v>20.655000000000001</v>
      </c>
      <c r="U71" s="37">
        <f>Assumptions!$H67*IF(LEFT($B71,9)="Baltic C5",U$4,U$5)</f>
        <v>18.792000000000002</v>
      </c>
      <c r="V71" s="37">
        <f>Assumptions!$H67*IF(LEFT($B71,9)="Baltic C5",V$4,V$5)</f>
        <v>17.658000000000001</v>
      </c>
      <c r="W71" s="37">
        <f>Assumptions!$H67*IF(LEFT($B71,9)="Baltic C5",W$4,W$5)</f>
        <v>17.981999999999999</v>
      </c>
      <c r="X71" s="37">
        <f>Assumptions!$H67*IF(LEFT($B71,9)="Baltic C5",X$4,X$5)</f>
        <v>18.387</v>
      </c>
      <c r="Y71" s="37">
        <f>Assumptions!$H67*IF(LEFT($B71,9)="Baltic C5",Y$4,Y$5)</f>
        <v>18.711000000000002</v>
      </c>
      <c r="Z71" s="37">
        <f>Assumptions!$H67*IF(LEFT($B71,9)="Baltic C5",Z$4,Z$5)</f>
        <v>19.116000000000003</v>
      </c>
      <c r="AA71" s="37">
        <f>Assumptions!$H67*IF(LEFT($B71,9)="Baltic C5",AA$4,AA$5)</f>
        <v>19.521000000000001</v>
      </c>
      <c r="AB71" s="37">
        <f>Assumptions!$H67*IF(LEFT($B71,9)="Baltic C5",AB$4,AB$5)</f>
        <v>19.926000000000002</v>
      </c>
    </row>
    <row r="72" spans="1:28" x14ac:dyDescent="0.2">
      <c r="A72" s="7" t="s">
        <v>301</v>
      </c>
      <c r="B72" s="7" t="s">
        <v>367</v>
      </c>
      <c r="C72" s="37">
        <f>Assumptions!$H68*IF(LEFT($B72,9)="Baltic C5",C$4,C$5)</f>
        <v>32.488</v>
      </c>
      <c r="D72" s="37">
        <f>Assumptions!$H68*IF(LEFT($B72,9)="Baltic C5",D$4,D$5)</f>
        <v>27.9</v>
      </c>
      <c r="E72" s="37">
        <f>Assumptions!$H68*IF(LEFT($B72,9)="Baltic C5",E$4,E$5)</f>
        <v>24.427999999999997</v>
      </c>
      <c r="F72" s="37">
        <f>Assumptions!$H68*IF(LEFT($B72,9)="Baltic C5",F$4,F$5)</f>
        <v>26.164000000000001</v>
      </c>
      <c r="G72" s="37">
        <f>Assumptions!$H68*IF(LEFT($B72,9)="Baltic C5",G$4,G$5)</f>
        <v>25.544</v>
      </c>
      <c r="H72" s="37">
        <f>Assumptions!$H68*IF(LEFT($B72,9)="Baltic C5",H$4,H$5)</f>
        <v>13.888</v>
      </c>
      <c r="I72" s="37">
        <f>Assumptions!$H68*IF(LEFT($B72,9)="Baltic C5",I$4,I$5)</f>
        <v>11.283999999999999</v>
      </c>
      <c r="J72" s="37">
        <f>Assumptions!$H68*IF(LEFT($B72,9)="Baltic C5",J$4,J$5)</f>
        <v>18.847999999999999</v>
      </c>
      <c r="K72" s="37">
        <f>Assumptions!$H68*IF(LEFT($B72,9)="Baltic C5",K$4,K$5)</f>
        <v>22.815999999999999</v>
      </c>
      <c r="L72" s="37">
        <f>Assumptions!$H68*IF(LEFT($B72,9)="Baltic C5",L$4,L$5)</f>
        <v>23.064</v>
      </c>
      <c r="M72" s="37">
        <f>Assumptions!$H68*IF(LEFT($B72,9)="Baltic C5",M$4,M$5)</f>
        <v>18.352</v>
      </c>
      <c r="N72" s="37">
        <f>Assumptions!$H68*IF(LEFT($B72,9)="Baltic C5",N$4,N$5)</f>
        <v>33.107999999999997</v>
      </c>
      <c r="O72" s="37">
        <f>Assumptions!$H68*IF(LEFT($B72,9)="Baltic C5",O$4,O$5)</f>
        <v>29.759999999999998</v>
      </c>
      <c r="P72" s="37">
        <f>Assumptions!$H68*IF(LEFT($B72,9)="Baltic C5",P$4,P$5)</f>
        <v>26.04</v>
      </c>
      <c r="Q72" s="37">
        <f>Assumptions!$H68*IF(LEFT($B72,9)="Baltic C5",Q$4,Q$5)</f>
        <v>31</v>
      </c>
      <c r="R72" s="37">
        <f>Assumptions!$H68*IF(LEFT($B72,9)="Baltic C5",R$4,R$5)</f>
        <v>27.155999999999999</v>
      </c>
      <c r="S72" s="37">
        <f>Assumptions!$H68*IF(LEFT($B72,9)="Baltic C5",S$4,S$5)</f>
        <v>38.44</v>
      </c>
      <c r="T72" s="37">
        <f>Assumptions!$H68*IF(LEFT($B72,9)="Baltic C5",T$4,T$5)</f>
        <v>31.62</v>
      </c>
      <c r="U72" s="37">
        <f>Assumptions!$H68*IF(LEFT($B72,9)="Baltic C5",U$4,U$5)</f>
        <v>28.768000000000001</v>
      </c>
      <c r="V72" s="37">
        <f>Assumptions!$H68*IF(LEFT($B72,9)="Baltic C5",V$4,V$5)</f>
        <v>27.032</v>
      </c>
      <c r="W72" s="37">
        <f>Assumptions!$H68*IF(LEFT($B72,9)="Baltic C5",W$4,W$5)</f>
        <v>27.527999999999999</v>
      </c>
      <c r="X72" s="37">
        <f>Assumptions!$H68*IF(LEFT($B72,9)="Baltic C5",X$4,X$5)</f>
        <v>28.148</v>
      </c>
      <c r="Y72" s="37">
        <f>Assumptions!$H68*IF(LEFT($B72,9)="Baltic C5",Y$4,Y$5)</f>
        <v>28.644000000000002</v>
      </c>
      <c r="Z72" s="37">
        <f>Assumptions!$H68*IF(LEFT($B72,9)="Baltic C5",Z$4,Z$5)</f>
        <v>29.264000000000003</v>
      </c>
      <c r="AA72" s="37">
        <f>Assumptions!$H68*IF(LEFT($B72,9)="Baltic C5",AA$4,AA$5)</f>
        <v>29.884</v>
      </c>
      <c r="AB72" s="37">
        <f>Assumptions!$H68*IF(LEFT($B72,9)="Baltic C5",AB$4,AB$5)</f>
        <v>30.504000000000001</v>
      </c>
    </row>
    <row r="73" spans="1:28" x14ac:dyDescent="0.2">
      <c r="A73" s="7" t="s">
        <v>303</v>
      </c>
      <c r="B73" s="7" t="s">
        <v>367</v>
      </c>
      <c r="C73" s="37">
        <f>Assumptions!$H69*IF(LEFT($B73,9)="Baltic C5",C$4,C$5)</f>
        <v>32.488</v>
      </c>
      <c r="D73" s="37">
        <f>Assumptions!$H69*IF(LEFT($B73,9)="Baltic C5",D$4,D$5)</f>
        <v>27.9</v>
      </c>
      <c r="E73" s="37">
        <f>Assumptions!$H69*IF(LEFT($B73,9)="Baltic C5",E$4,E$5)</f>
        <v>24.427999999999997</v>
      </c>
      <c r="F73" s="37">
        <f>Assumptions!$H69*IF(LEFT($B73,9)="Baltic C5",F$4,F$5)</f>
        <v>26.164000000000001</v>
      </c>
      <c r="G73" s="37">
        <f>Assumptions!$H69*IF(LEFT($B73,9)="Baltic C5",G$4,G$5)</f>
        <v>25.544</v>
      </c>
      <c r="H73" s="37">
        <f>Assumptions!$H69*IF(LEFT($B73,9)="Baltic C5",H$4,H$5)</f>
        <v>13.888</v>
      </c>
      <c r="I73" s="37">
        <f>Assumptions!$H69*IF(LEFT($B73,9)="Baltic C5",I$4,I$5)</f>
        <v>11.283999999999999</v>
      </c>
      <c r="J73" s="37">
        <f>Assumptions!$H69*IF(LEFT($B73,9)="Baltic C5",J$4,J$5)</f>
        <v>18.847999999999999</v>
      </c>
      <c r="K73" s="37">
        <f>Assumptions!$H69*IF(LEFT($B73,9)="Baltic C5",K$4,K$5)</f>
        <v>22.815999999999999</v>
      </c>
      <c r="L73" s="37">
        <f>Assumptions!$H69*IF(LEFT($B73,9)="Baltic C5",L$4,L$5)</f>
        <v>23.064</v>
      </c>
      <c r="M73" s="37">
        <f>Assumptions!$H69*IF(LEFT($B73,9)="Baltic C5",M$4,M$5)</f>
        <v>18.352</v>
      </c>
      <c r="N73" s="37">
        <f>Assumptions!$H69*IF(LEFT($B73,9)="Baltic C5",N$4,N$5)</f>
        <v>33.107999999999997</v>
      </c>
      <c r="O73" s="37">
        <f>Assumptions!$H69*IF(LEFT($B73,9)="Baltic C5",O$4,O$5)</f>
        <v>29.759999999999998</v>
      </c>
      <c r="P73" s="37">
        <f>Assumptions!$H69*IF(LEFT($B73,9)="Baltic C5",P$4,P$5)</f>
        <v>26.04</v>
      </c>
      <c r="Q73" s="37">
        <f>Assumptions!$H69*IF(LEFT($B73,9)="Baltic C5",Q$4,Q$5)</f>
        <v>31</v>
      </c>
      <c r="R73" s="37">
        <f>Assumptions!$H69*IF(LEFT($B73,9)="Baltic C5",R$4,R$5)</f>
        <v>27.155999999999999</v>
      </c>
      <c r="S73" s="37">
        <f>Assumptions!$H69*IF(LEFT($B73,9)="Baltic C5",S$4,S$5)</f>
        <v>38.44</v>
      </c>
      <c r="T73" s="37">
        <f>Assumptions!$H69*IF(LEFT($B73,9)="Baltic C5",T$4,T$5)</f>
        <v>31.62</v>
      </c>
      <c r="U73" s="37">
        <f>Assumptions!$H69*IF(LEFT($B73,9)="Baltic C5",U$4,U$5)</f>
        <v>28.768000000000001</v>
      </c>
      <c r="V73" s="37">
        <f>Assumptions!$H69*IF(LEFT($B73,9)="Baltic C5",V$4,V$5)</f>
        <v>27.032</v>
      </c>
      <c r="W73" s="37">
        <f>Assumptions!$H69*IF(LEFT($B73,9)="Baltic C5",W$4,W$5)</f>
        <v>27.527999999999999</v>
      </c>
      <c r="X73" s="37">
        <f>Assumptions!$H69*IF(LEFT($B73,9)="Baltic C5",X$4,X$5)</f>
        <v>28.148</v>
      </c>
      <c r="Y73" s="37">
        <f>Assumptions!$H69*IF(LEFT($B73,9)="Baltic C5",Y$4,Y$5)</f>
        <v>28.644000000000002</v>
      </c>
      <c r="Z73" s="37">
        <f>Assumptions!$H69*IF(LEFT($B73,9)="Baltic C5",Z$4,Z$5)</f>
        <v>29.264000000000003</v>
      </c>
      <c r="AA73" s="37">
        <f>Assumptions!$H69*IF(LEFT($B73,9)="Baltic C5",AA$4,AA$5)</f>
        <v>29.884</v>
      </c>
      <c r="AB73" s="37">
        <f>Assumptions!$H69*IF(LEFT($B73,9)="Baltic C5",AB$4,AB$5)</f>
        <v>30.504000000000001</v>
      </c>
    </row>
    <row r="74" spans="1:28" x14ac:dyDescent="0.2">
      <c r="A74" s="7" t="s">
        <v>305</v>
      </c>
      <c r="B74" s="7" t="s">
        <v>340</v>
      </c>
      <c r="C74" s="37">
        <f>Assumptions!$H70*IF(LEFT($B74,9)="Baltic C5",C$4,C$5)</f>
        <v>27.51</v>
      </c>
      <c r="D74" s="37">
        <f>Assumptions!$H70*IF(LEFT($B74,9)="Baltic C5",D$4,D$5)</f>
        <v>23.625</v>
      </c>
      <c r="E74" s="37">
        <f>Assumptions!$H70*IF(LEFT($B74,9)="Baltic C5",E$4,E$5)</f>
        <v>20.684999999999999</v>
      </c>
      <c r="F74" s="37">
        <f>Assumptions!$H70*IF(LEFT($B74,9)="Baltic C5",F$4,F$5)</f>
        <v>22.155000000000001</v>
      </c>
      <c r="G74" s="37">
        <f>Assumptions!$H70*IF(LEFT($B74,9)="Baltic C5",G$4,G$5)</f>
        <v>21.630000000000003</v>
      </c>
      <c r="H74" s="37">
        <f>Assumptions!$H70*IF(LEFT($B74,9)="Baltic C5",H$4,H$5)</f>
        <v>11.76</v>
      </c>
      <c r="I74" s="37">
        <f>Assumptions!$H70*IF(LEFT($B74,9)="Baltic C5",I$4,I$5)</f>
        <v>9.5549999999999997</v>
      </c>
      <c r="J74" s="37">
        <f>Assumptions!$H70*IF(LEFT($B74,9)="Baltic C5",J$4,J$5)</f>
        <v>15.959999999999999</v>
      </c>
      <c r="K74" s="37">
        <f>Assumptions!$H70*IF(LEFT($B74,9)="Baltic C5",K$4,K$5)</f>
        <v>19.32</v>
      </c>
      <c r="L74" s="37">
        <f>Assumptions!$H70*IF(LEFT($B74,9)="Baltic C5",L$4,L$5)</f>
        <v>19.53</v>
      </c>
      <c r="M74" s="37">
        <f>Assumptions!$H70*IF(LEFT($B74,9)="Baltic C5",M$4,M$5)</f>
        <v>15.540000000000001</v>
      </c>
      <c r="N74" s="37">
        <f>Assumptions!$H70*IF(LEFT($B74,9)="Baltic C5",N$4,N$5)</f>
        <v>28.035</v>
      </c>
      <c r="O74" s="37">
        <f>Assumptions!$H70*IF(LEFT($B74,9)="Baltic C5",O$4,O$5)</f>
        <v>25.200000000000003</v>
      </c>
      <c r="P74" s="37">
        <f>Assumptions!$H70*IF(LEFT($B74,9)="Baltic C5",P$4,P$5)</f>
        <v>22.05</v>
      </c>
      <c r="Q74" s="37">
        <f>Assumptions!$H70*IF(LEFT($B74,9)="Baltic C5",Q$4,Q$5)</f>
        <v>26.25</v>
      </c>
      <c r="R74" s="37">
        <f>Assumptions!$H70*IF(LEFT($B74,9)="Baltic C5",R$4,R$5)</f>
        <v>22.995000000000001</v>
      </c>
      <c r="S74" s="37">
        <f>Assumptions!$H70*IF(LEFT($B74,9)="Baltic C5",S$4,S$5)</f>
        <v>32.550000000000004</v>
      </c>
      <c r="T74" s="37">
        <f>Assumptions!$H70*IF(LEFT($B74,9)="Baltic C5",T$4,T$5)</f>
        <v>26.775000000000002</v>
      </c>
      <c r="U74" s="37">
        <f>Assumptions!$H70*IF(LEFT($B74,9)="Baltic C5",U$4,U$5)</f>
        <v>24.36</v>
      </c>
      <c r="V74" s="37">
        <f>Assumptions!$H70*IF(LEFT($B74,9)="Baltic C5",V$4,V$5)</f>
        <v>22.89</v>
      </c>
      <c r="W74" s="37">
        <f>Assumptions!$H70*IF(LEFT($B74,9)="Baltic C5",W$4,W$5)</f>
        <v>23.31</v>
      </c>
      <c r="X74" s="37">
        <f>Assumptions!$H70*IF(LEFT($B74,9)="Baltic C5",X$4,X$5)</f>
        <v>23.835000000000001</v>
      </c>
      <c r="Y74" s="37">
        <f>Assumptions!$H70*IF(LEFT($B74,9)="Baltic C5",Y$4,Y$5)</f>
        <v>24.255000000000003</v>
      </c>
      <c r="Z74" s="37">
        <f>Assumptions!$H70*IF(LEFT($B74,9)="Baltic C5",Z$4,Z$5)</f>
        <v>24.78</v>
      </c>
      <c r="AA74" s="37">
        <f>Assumptions!$H70*IF(LEFT($B74,9)="Baltic C5",AA$4,AA$5)</f>
        <v>25.305000000000003</v>
      </c>
      <c r="AB74" s="37">
        <f>Assumptions!$H70*IF(LEFT($B74,9)="Baltic C5",AB$4,AB$5)</f>
        <v>25.830000000000002</v>
      </c>
    </row>
    <row r="75" spans="1:28" x14ac:dyDescent="0.2">
      <c r="A75" s="7" t="s">
        <v>309</v>
      </c>
      <c r="B75" s="7" t="s">
        <v>356</v>
      </c>
      <c r="C75" s="37">
        <f>Assumptions!$H71*IF(LEFT($B75,9)="Baltic C5",C$4,C$5)</f>
        <v>27.248000000000001</v>
      </c>
      <c r="D75" s="37">
        <f>Assumptions!$H71*IF(LEFT($B75,9)="Baltic C5",D$4,D$5)</f>
        <v>23.400000000000002</v>
      </c>
      <c r="E75" s="37">
        <f>Assumptions!$H71*IF(LEFT($B75,9)="Baltic C5",E$4,E$5)</f>
        <v>20.488</v>
      </c>
      <c r="F75" s="37">
        <f>Assumptions!$H71*IF(LEFT($B75,9)="Baltic C5",F$4,F$5)</f>
        <v>21.944000000000003</v>
      </c>
      <c r="G75" s="37">
        <f>Assumptions!$H71*IF(LEFT($B75,9)="Baltic C5",G$4,G$5)</f>
        <v>21.424000000000003</v>
      </c>
      <c r="H75" s="37">
        <f>Assumptions!$H71*IF(LEFT($B75,9)="Baltic C5",H$4,H$5)</f>
        <v>11.648</v>
      </c>
      <c r="I75" s="37">
        <f>Assumptions!$H71*IF(LEFT($B75,9)="Baltic C5",I$4,I$5)</f>
        <v>9.4640000000000004</v>
      </c>
      <c r="J75" s="37">
        <f>Assumptions!$H71*IF(LEFT($B75,9)="Baltic C5",J$4,J$5)</f>
        <v>15.808</v>
      </c>
      <c r="K75" s="37">
        <f>Assumptions!$H71*IF(LEFT($B75,9)="Baltic C5",K$4,K$5)</f>
        <v>19.135999999999999</v>
      </c>
      <c r="L75" s="37">
        <f>Assumptions!$H71*IF(LEFT($B75,9)="Baltic C5",L$4,L$5)</f>
        <v>19.344000000000001</v>
      </c>
      <c r="M75" s="37">
        <f>Assumptions!$H71*IF(LEFT($B75,9)="Baltic C5",M$4,M$5)</f>
        <v>15.392000000000001</v>
      </c>
      <c r="N75" s="37">
        <f>Assumptions!$H71*IF(LEFT($B75,9)="Baltic C5",N$4,N$5)</f>
        <v>27.768000000000001</v>
      </c>
      <c r="O75" s="37">
        <f>Assumptions!$H71*IF(LEFT($B75,9)="Baltic C5",O$4,O$5)</f>
        <v>24.96</v>
      </c>
      <c r="P75" s="37">
        <f>Assumptions!$H71*IF(LEFT($B75,9)="Baltic C5",P$4,P$5)</f>
        <v>21.84</v>
      </c>
      <c r="Q75" s="37">
        <f>Assumptions!$H71*IF(LEFT($B75,9)="Baltic C5",Q$4,Q$5)</f>
        <v>26</v>
      </c>
      <c r="R75" s="37">
        <f>Assumptions!$H71*IF(LEFT($B75,9)="Baltic C5",R$4,R$5)</f>
        <v>22.776</v>
      </c>
      <c r="S75" s="37">
        <f>Assumptions!$H71*IF(LEFT($B75,9)="Baltic C5",S$4,S$5)</f>
        <v>32.24</v>
      </c>
      <c r="T75" s="37">
        <f>Assumptions!$H71*IF(LEFT($B75,9)="Baltic C5",T$4,T$5)</f>
        <v>26.52</v>
      </c>
      <c r="U75" s="37">
        <f>Assumptions!$H71*IF(LEFT($B75,9)="Baltic C5",U$4,U$5)</f>
        <v>24.128</v>
      </c>
      <c r="V75" s="37">
        <f>Assumptions!$H71*IF(LEFT($B75,9)="Baltic C5",V$4,V$5)</f>
        <v>22.672000000000001</v>
      </c>
      <c r="W75" s="37">
        <f>Assumptions!$H71*IF(LEFT($B75,9)="Baltic C5",W$4,W$5)</f>
        <v>23.088000000000001</v>
      </c>
      <c r="X75" s="37">
        <f>Assumptions!$H71*IF(LEFT($B75,9)="Baltic C5",X$4,X$5)</f>
        <v>23.608000000000001</v>
      </c>
      <c r="Y75" s="37">
        <f>Assumptions!$H71*IF(LEFT($B75,9)="Baltic C5",Y$4,Y$5)</f>
        <v>24.024000000000001</v>
      </c>
      <c r="Z75" s="37">
        <f>Assumptions!$H71*IF(LEFT($B75,9)="Baltic C5",Z$4,Z$5)</f>
        <v>24.544000000000004</v>
      </c>
      <c r="AA75" s="37">
        <f>Assumptions!$H71*IF(LEFT($B75,9)="Baltic C5",AA$4,AA$5)</f>
        <v>25.064000000000004</v>
      </c>
      <c r="AB75" s="37">
        <f>Assumptions!$H71*IF(LEFT($B75,9)="Baltic C5",AB$4,AB$5)</f>
        <v>25.584000000000003</v>
      </c>
    </row>
    <row r="76" spans="1:28" x14ac:dyDescent="0.2">
      <c r="A76" s="7" t="s">
        <v>313</v>
      </c>
      <c r="B76" s="7" t="s">
        <v>368</v>
      </c>
      <c r="C76" s="37">
        <f>Assumptions!$H72*IF(LEFT($B76,9)="Baltic C5",C$4,C$5)</f>
        <v>29.082000000000001</v>
      </c>
      <c r="D76" s="37">
        <f>Assumptions!$H72*IF(LEFT($B76,9)="Baltic C5",D$4,D$5)</f>
        <v>24.975000000000001</v>
      </c>
      <c r="E76" s="37">
        <f>Assumptions!$H72*IF(LEFT($B76,9)="Baltic C5",E$4,E$5)</f>
        <v>21.867000000000001</v>
      </c>
      <c r="F76" s="37">
        <f>Assumptions!$H72*IF(LEFT($B76,9)="Baltic C5",F$4,F$5)</f>
        <v>23.421000000000003</v>
      </c>
      <c r="G76" s="37">
        <f>Assumptions!$H72*IF(LEFT($B76,9)="Baltic C5",G$4,G$5)</f>
        <v>22.866000000000003</v>
      </c>
      <c r="H76" s="37">
        <f>Assumptions!$H72*IF(LEFT($B76,9)="Baltic C5",H$4,H$5)</f>
        <v>12.432</v>
      </c>
      <c r="I76" s="37">
        <f>Assumptions!$H72*IF(LEFT($B76,9)="Baltic C5",I$4,I$5)</f>
        <v>10.101000000000001</v>
      </c>
      <c r="J76" s="37">
        <f>Assumptions!$H72*IF(LEFT($B76,9)="Baltic C5",J$4,J$5)</f>
        <v>16.872</v>
      </c>
      <c r="K76" s="37">
        <f>Assumptions!$H72*IF(LEFT($B76,9)="Baltic C5",K$4,K$5)</f>
        <v>20.423999999999999</v>
      </c>
      <c r="L76" s="37">
        <f>Assumptions!$H72*IF(LEFT($B76,9)="Baltic C5",L$4,L$5)</f>
        <v>20.646000000000004</v>
      </c>
      <c r="M76" s="37">
        <f>Assumptions!$H72*IF(LEFT($B76,9)="Baltic C5",M$4,M$5)</f>
        <v>16.428000000000001</v>
      </c>
      <c r="N76" s="37">
        <f>Assumptions!$H72*IF(LEFT($B76,9)="Baltic C5",N$4,N$5)</f>
        <v>29.637</v>
      </c>
      <c r="O76" s="37">
        <f>Assumptions!$H72*IF(LEFT($B76,9)="Baltic C5",O$4,O$5)</f>
        <v>26.64</v>
      </c>
      <c r="P76" s="37">
        <f>Assumptions!$H72*IF(LEFT($B76,9)="Baltic C5",P$4,P$5)</f>
        <v>23.310000000000002</v>
      </c>
      <c r="Q76" s="37">
        <f>Assumptions!$H72*IF(LEFT($B76,9)="Baltic C5",Q$4,Q$5)</f>
        <v>27.750000000000004</v>
      </c>
      <c r="R76" s="37">
        <f>Assumptions!$H72*IF(LEFT($B76,9)="Baltic C5",R$4,R$5)</f>
        <v>24.309000000000001</v>
      </c>
      <c r="S76" s="37">
        <f>Assumptions!$H72*IF(LEFT($B76,9)="Baltic C5",S$4,S$5)</f>
        <v>34.410000000000004</v>
      </c>
      <c r="T76" s="37">
        <f>Assumptions!$H72*IF(LEFT($B76,9)="Baltic C5",T$4,T$5)</f>
        <v>28.305000000000003</v>
      </c>
      <c r="U76" s="37">
        <f>Assumptions!$H72*IF(LEFT($B76,9)="Baltic C5",U$4,U$5)</f>
        <v>25.752000000000002</v>
      </c>
      <c r="V76" s="37">
        <f>Assumptions!$H72*IF(LEFT($B76,9)="Baltic C5",V$4,V$5)</f>
        <v>24.198000000000004</v>
      </c>
      <c r="W76" s="37">
        <f>Assumptions!$H72*IF(LEFT($B76,9)="Baltic C5",W$4,W$5)</f>
        <v>24.642000000000003</v>
      </c>
      <c r="X76" s="37">
        <f>Assumptions!$H72*IF(LEFT($B76,9)="Baltic C5",X$4,X$5)</f>
        <v>25.197000000000003</v>
      </c>
      <c r="Y76" s="37">
        <f>Assumptions!$H72*IF(LEFT($B76,9)="Baltic C5",Y$4,Y$5)</f>
        <v>25.641000000000005</v>
      </c>
      <c r="Z76" s="37">
        <f>Assumptions!$H72*IF(LEFT($B76,9)="Baltic C5",Z$4,Z$5)</f>
        <v>26.196000000000005</v>
      </c>
      <c r="AA76" s="37">
        <f>Assumptions!$H72*IF(LEFT($B76,9)="Baltic C5",AA$4,AA$5)</f>
        <v>26.751000000000005</v>
      </c>
      <c r="AB76" s="37">
        <f>Assumptions!$H72*IF(LEFT($B76,9)="Baltic C5",AB$4,AB$5)</f>
        <v>27.306000000000004</v>
      </c>
    </row>
    <row r="77" spans="1:28" x14ac:dyDescent="0.2">
      <c r="A77" s="7" t="s">
        <v>328</v>
      </c>
      <c r="B77" s="7" t="s">
        <v>370</v>
      </c>
      <c r="C77" s="37">
        <f>Assumptions!$H73*IF(LEFT($B77,9)="Baltic C5",C$4,C$5)</f>
        <v>10.4</v>
      </c>
      <c r="D77" s="37">
        <f>Assumptions!$H73*IF(LEFT($B77,9)="Baltic C5",D$4,D$5)</f>
        <v>9.1</v>
      </c>
      <c r="E77" s="37">
        <f>Assumptions!$H73*IF(LEFT($B77,9)="Baltic C5",E$4,E$5)</f>
        <v>7.8</v>
      </c>
      <c r="F77" s="37">
        <f>Assumptions!$H73*IF(LEFT($B77,9)="Baltic C5",F$4,F$5)</f>
        <v>8.8000000000000007</v>
      </c>
      <c r="G77" s="37">
        <f>Assumptions!$H73*IF(LEFT($B77,9)="Baltic C5",G$4,G$5)</f>
        <v>8.1</v>
      </c>
      <c r="H77" s="37">
        <f>Assumptions!$H73*IF(LEFT($B77,9)="Baltic C5",H$4,H$5)</f>
        <v>4.9000000000000004</v>
      </c>
      <c r="I77" s="37">
        <f>Assumptions!$H73*IF(LEFT($B77,9)="Baltic C5",I$4,I$5)</f>
        <v>4.5</v>
      </c>
      <c r="J77" s="37">
        <f>Assumptions!$H73*IF(LEFT($B77,9)="Baltic C5",J$4,J$5)</f>
        <v>6.8</v>
      </c>
      <c r="K77" s="37">
        <f>Assumptions!$H73*IF(LEFT($B77,9)="Baltic C5",K$4,K$5)</f>
        <v>7.6</v>
      </c>
      <c r="L77" s="37">
        <f>Assumptions!$H73*IF(LEFT($B77,9)="Baltic C5",L$4,L$5)</f>
        <v>7.7</v>
      </c>
      <c r="M77" s="37">
        <f>Assumptions!$H73*IF(LEFT($B77,9)="Baltic C5",M$4,M$5)</f>
        <v>6.7</v>
      </c>
      <c r="N77" s="37">
        <f>Assumptions!$H73*IF(LEFT($B77,9)="Baltic C5",N$4,N$5)</f>
        <v>12.1</v>
      </c>
      <c r="O77" s="37">
        <f>Assumptions!$H73*IF(LEFT($B77,9)="Baltic C5",O$4,O$5)</f>
        <v>9.9</v>
      </c>
      <c r="P77" s="37">
        <f>Assumptions!$H73*IF(LEFT($B77,9)="Baltic C5",P$4,P$5)</f>
        <v>8.6999999999999993</v>
      </c>
      <c r="Q77" s="37">
        <f>Assumptions!$H73*IF(LEFT($B77,9)="Baltic C5",Q$4,Q$5)</f>
        <v>10.1</v>
      </c>
      <c r="R77" s="37">
        <f>Assumptions!$H73*IF(LEFT($B77,9)="Baltic C5",R$4,R$5)</f>
        <v>9.1</v>
      </c>
      <c r="S77" s="37">
        <f>Assumptions!$H73*IF(LEFT($B77,9)="Baltic C5",S$4,S$5)</f>
        <v>12.5</v>
      </c>
      <c r="T77" s="37">
        <f>Assumptions!$H73*IF(LEFT($B77,9)="Baltic C5",T$4,T$5)</f>
        <v>10.8</v>
      </c>
      <c r="U77" s="37">
        <f>Assumptions!$H73*IF(LEFT($B77,9)="Baltic C5",U$4,U$5)</f>
        <v>10.199999999999999</v>
      </c>
      <c r="V77" s="37">
        <f>Assumptions!$H73*IF(LEFT($B77,9)="Baltic C5",V$4,V$5)</f>
        <v>9.8000000000000007</v>
      </c>
      <c r="W77" s="37">
        <f>Assumptions!$H73*IF(LEFT($B77,9)="Baltic C5",W$4,W$5)</f>
        <v>10</v>
      </c>
      <c r="X77" s="37">
        <f>Assumptions!$H73*IF(LEFT($B77,9)="Baltic C5",X$4,X$5)</f>
        <v>10.199999999999999</v>
      </c>
      <c r="Y77" s="37">
        <f>Assumptions!$H73*IF(LEFT($B77,9)="Baltic C5",Y$4,Y$5)</f>
        <v>10.4</v>
      </c>
      <c r="Z77" s="37">
        <f>Assumptions!$H73*IF(LEFT($B77,9)="Baltic C5",Z$4,Z$5)</f>
        <v>10.6</v>
      </c>
      <c r="AA77" s="37">
        <f>Assumptions!$H73*IF(LEFT($B77,9)="Baltic C5",AA$4,AA$5)</f>
        <v>10.8</v>
      </c>
      <c r="AB77" s="37">
        <f>Assumptions!$H73*IF(LEFT($B77,9)="Baltic C5",AB$4,AB$5)</f>
        <v>11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AB107"/>
  <sheetViews>
    <sheetView zoomScale="57" zoomScaleNormal="100" workbookViewId="0">
      <pane xSplit="2" ySplit="3" topLeftCell="C21" activePane="bottomRight" state="frozen"/>
      <selection pane="topRight" activeCell="C1" sqref="C1"/>
      <selection pane="bottomLeft" activeCell="A4" sqref="A4"/>
      <selection pane="bottomRight" activeCell="L19" sqref="L19"/>
    </sheetView>
  </sheetViews>
  <sheetFormatPr baseColWidth="10" defaultColWidth="8.6640625" defaultRowHeight="15" x14ac:dyDescent="0.2"/>
  <cols>
    <col min="1" max="1" width="46" style="40" customWidth="1"/>
    <col min="2" max="2" width="5.5" style="40" customWidth="1"/>
    <col min="3" max="28" width="8" style="40" customWidth="1"/>
    <col min="29" max="16384" width="8.6640625" style="40"/>
  </cols>
  <sheetData>
    <row r="1" spans="1:28" x14ac:dyDescent="0.2">
      <c r="A1" s="9" t="s">
        <v>373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x14ac:dyDescent="0.2">
      <c r="A2" s="7" t="s">
        <v>372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">
      <c r="A3" s="30" t="s">
        <v>0</v>
      </c>
      <c r="B3" s="7"/>
      <c r="C3" s="30">
        <v>2010</v>
      </c>
      <c r="D3" s="30">
        <v>2011</v>
      </c>
      <c r="E3" s="30">
        <v>2012</v>
      </c>
      <c r="F3" s="30">
        <v>2013</v>
      </c>
      <c r="G3" s="30">
        <v>2014</v>
      </c>
      <c r="H3" s="30">
        <v>2015</v>
      </c>
      <c r="I3" s="30">
        <v>2016</v>
      </c>
      <c r="J3" s="30">
        <v>2017</v>
      </c>
      <c r="K3" s="30">
        <v>2018</v>
      </c>
      <c r="L3" s="30">
        <v>2019</v>
      </c>
      <c r="M3" s="30">
        <v>2020</v>
      </c>
      <c r="N3" s="30">
        <v>2021</v>
      </c>
      <c r="O3" s="30">
        <v>2022</v>
      </c>
      <c r="P3" s="30">
        <v>2023</v>
      </c>
      <c r="Q3" s="30">
        <v>2024</v>
      </c>
      <c r="R3" s="30">
        <v>2025</v>
      </c>
      <c r="S3" s="30">
        <v>2026</v>
      </c>
      <c r="T3" s="30">
        <v>2027</v>
      </c>
      <c r="U3" s="30">
        <v>2028</v>
      </c>
      <c r="V3" s="30">
        <v>2029</v>
      </c>
      <c r="W3" s="30">
        <v>2030</v>
      </c>
      <c r="X3" s="30">
        <v>2031</v>
      </c>
      <c r="Y3" s="30">
        <v>2032</v>
      </c>
      <c r="Z3" s="30">
        <v>2033</v>
      </c>
      <c r="AA3" s="30">
        <v>2034</v>
      </c>
      <c r="AB3" s="30">
        <v>2035</v>
      </c>
    </row>
    <row r="4" spans="1:28" x14ac:dyDescent="0.2">
      <c r="A4" s="7" t="s">
        <v>64</v>
      </c>
      <c r="B4" s="7"/>
      <c r="C4" s="33">
        <f>IF('Seaborne Supply'!C3=0,0,('FOB Cost'!C3/(1-Assumptions!$E3/100)+'Freight to Qingdao'!C7)/(1-Assumptions!$D3/100))</f>
        <v>36.756756756756758</v>
      </c>
      <c r="D4" s="33">
        <f>IF('Seaborne Supply'!D3=0,0,('FOB Cost'!D3/(1-Assumptions!$E3/100)+'Freight to Qingdao'!D7)/(1-Assumptions!$D3/100))</f>
        <v>42.91485033420517</v>
      </c>
      <c r="E4" s="33">
        <f>IF('Seaborne Supply'!E3=0,0,('FOB Cost'!E3/(1-Assumptions!$E3/100)+'Freight to Qingdao'!E7)/(1-Assumptions!$D3/100))</f>
        <v>43.144434757337983</v>
      </c>
      <c r="F4" s="33">
        <f>IF('Seaborne Supply'!F3=0,0,('FOB Cost'!F3/(1-Assumptions!$E3/100)+'Freight to Qingdao'!F7)/(1-Assumptions!$D3/100))</f>
        <v>43.638477186864293</v>
      </c>
      <c r="G4" s="33">
        <f>IF('Seaborne Supply'!G3=0,0,('FOB Cost'!G3/(1-Assumptions!$E3/100)+'Freight to Qingdao'!G7)/(1-Assumptions!$D3/100))</f>
        <v>40.095902353966871</v>
      </c>
      <c r="H4" s="33">
        <f>IF('Seaborne Supply'!H3=0,0,('FOB Cost'!H3/(1-Assumptions!$E3/100)+'Freight to Qingdao'!H7)/(1-Assumptions!$D3/100))</f>
        <v>27.006684103458298</v>
      </c>
      <c r="I4" s="33">
        <f>IF('Seaborne Supply'!I3=0,0,('FOB Cost'!I3/(1-Assumptions!$E3/100)+'Freight to Qingdao'!I7)/(1-Assumptions!$D3/100))</f>
        <v>22.391746585294971</v>
      </c>
      <c r="J4" s="33">
        <f>IF('Seaborne Supply'!J3=0,0,('FOB Cost'!J3/(1-Assumptions!$E3/100)+'Freight to Qingdao'!J7)/(1-Assumptions!$D3/100))</f>
        <v>24.283638477186866</v>
      </c>
      <c r="K4" s="33">
        <f>IF('Seaborne Supply'!K3=0,0,('FOB Cost'!K3/(1-Assumptions!$E3/100)+'Freight to Qingdao'!K7)/(1-Assumptions!$D3/100))</f>
        <v>24.795117698343507</v>
      </c>
      <c r="L4" s="33">
        <f>IF('Seaborne Supply'!L3=0,0,('FOB Cost'!L3/(1-Assumptions!$E3/100)+'Freight to Qingdao'!L7)/(1-Assumptions!$D3/100))</f>
        <v>24.786399302528334</v>
      </c>
      <c r="M4" s="33">
        <f>IF('Seaborne Supply'!M3=0,0,('FOB Cost'!M3/(1-Assumptions!$E3/100)+'Freight to Qingdao'!M7)/(1-Assumptions!$D3/100))</f>
        <v>21.851206044754431</v>
      </c>
      <c r="N4" s="33">
        <f>IF('Seaborne Supply'!N3=0,0,('FOB Cost'!N3/(1-Assumptions!$E3/100)+'Freight to Qingdao'!N7)/(1-Assumptions!$D3/100))</f>
        <v>30.215053763440864</v>
      </c>
      <c r="O4" s="33">
        <f>IF('Seaborne Supply'!O3=0,0,('FOB Cost'!O3/(1-Assumptions!$E3/100)+'Freight to Qingdao'!O7)/(1-Assumptions!$D3/100))</f>
        <v>30.1743679163034</v>
      </c>
      <c r="P4" s="33">
        <f>IF('Seaborne Supply'!P3=0,0,('FOB Cost'!P3/(1-Assumptions!$E3/100)+'Freight to Qingdao'!P7)/(1-Assumptions!$D3/100))</f>
        <v>30.046498111014241</v>
      </c>
      <c r="Q4" s="33">
        <f>IF('Seaborne Supply'!Q3=0,0,('FOB Cost'!Q3/(1-Assumptions!$E3/100)+'Freight to Qingdao'!Q7)/(1-Assumptions!$D3/100))</f>
        <v>32.016855565242658</v>
      </c>
      <c r="R4" s="33">
        <f>IF('Seaborne Supply'!R3=0,0,('FOB Cost'!R3/(1-Assumptions!$E3/100)+'Freight to Qingdao'!R7)/(1-Assumptions!$D3/100))</f>
        <v>31.406567858180761</v>
      </c>
      <c r="S4" s="33">
        <f>IF('Seaborne Supply'!S3=0,0,('FOB Cost'!S3/(1-Assumptions!$E3/100)+'Freight to Qingdao'!S7)/(1-Assumptions!$D3/100))</f>
        <v>36.34117988956698</v>
      </c>
      <c r="T4" s="33">
        <f>IF('Seaborne Supply'!T3=0,0,('FOB Cost'!T3/(1-Assumptions!$E3/100)+'Freight to Qingdao'!T7)/(1-Assumptions!$D3/100))</f>
        <v>36.024411508282483</v>
      </c>
      <c r="U4" s="33">
        <f>IF('Seaborne Supply'!U3=0,0,('FOB Cost'!U3/(1-Assumptions!$E3/100)+'Freight to Qingdao'!U7)/(1-Assumptions!$D3/100))</f>
        <v>34.216797442603898</v>
      </c>
      <c r="V4" s="33">
        <f>IF('Seaborne Supply'!V3=0,0,('FOB Cost'!V3/(1-Assumptions!$E3/100)+'Freight to Qingdao'!V7)/(1-Assumptions!$D3/100))</f>
        <v>32.624237140366176</v>
      </c>
      <c r="W4" s="33">
        <f>IF('Seaborne Supply'!W3=0,0,('FOB Cost'!W3/(1-Assumptions!$E3/100)+'Freight to Qingdao'!W7)/(1-Assumptions!$D3/100))</f>
        <v>31.676838128451035</v>
      </c>
      <c r="X4" s="33">
        <f>IF('Seaborne Supply'!X3=0,0,('FOB Cost'!X3/(1-Assumptions!$E3/100)+'Freight to Qingdao'!X7)/(1-Assumptions!$D3/100))</f>
        <v>31.659401336820693</v>
      </c>
      <c r="Y4" s="33">
        <f>IF('Seaborne Supply'!Y3=0,0,('FOB Cost'!Y3/(1-Assumptions!$E3/100)+'Freight to Qingdao'!Y7)/(1-Assumptions!$D3/100))</f>
        <v>32.339436210403953</v>
      </c>
      <c r="Z4" s="33">
        <f>IF('Seaborne Supply'!Z3=0,0,('FOB Cost'!Z3/(1-Assumptions!$E3/100)+'Freight to Qingdao'!Z7)/(1-Assumptions!$D3/100))</f>
        <v>32.903225806451616</v>
      </c>
      <c r="AA4" s="33">
        <f>IF('Seaborne Supply'!AA3=0,0,('FOB Cost'!AA3/(1-Assumptions!$E3/100)+'Freight to Qingdao'!AA7)/(1-Assumptions!$D3/100))</f>
        <v>33.583260680034876</v>
      </c>
      <c r="AB4" s="33">
        <f>IF('Seaborne Supply'!AB3=0,0,('FOB Cost'!AB3/(1-Assumptions!$E3/100)+'Freight to Qingdao'!AB7)/(1-Assumptions!$D3/100))</f>
        <v>34.263295553618136</v>
      </c>
    </row>
    <row r="5" spans="1:28" x14ac:dyDescent="0.2">
      <c r="A5" s="7" t="s">
        <v>65</v>
      </c>
      <c r="B5" s="7"/>
      <c r="C5" s="33">
        <f>IF('Seaborne Supply'!C4=0,0,('FOB Cost'!C4/(1-Assumptions!$E4/100)+'Freight to Qingdao'!C8)/(1-Assumptions!$D4/100))</f>
        <v>35.013077593722755</v>
      </c>
      <c r="D5" s="33">
        <f>IF('Seaborne Supply'!D4=0,0,('FOB Cost'!D4/(1-Assumptions!$E4/100)+'Freight to Qingdao'!D8)/(1-Assumptions!$D4/100))</f>
        <v>37.567567567567565</v>
      </c>
      <c r="E5" s="33">
        <f>IF('Seaborne Supply'!E4=0,0,('FOB Cost'!E4/(1-Assumptions!$E4/100)+'Freight to Qingdao'!E8)/(1-Assumptions!$D4/100))</f>
        <v>33.728567276954379</v>
      </c>
      <c r="F5" s="33">
        <f>IF('Seaborne Supply'!F4=0,0,('FOB Cost'!F4/(1-Assumptions!$E4/100)+'Freight to Qingdao'!F8)/(1-Assumptions!$D4/100))</f>
        <v>32.943911653589076</v>
      </c>
      <c r="G5" s="33">
        <f>IF('Seaborne Supply'!G4=0,0,('FOB Cost'!G4/(1-Assumptions!$E4/100)+'Freight to Qingdao'!G8)/(1-Assumptions!$D4/100))</f>
        <v>31.377506538796865</v>
      </c>
      <c r="H5" s="33">
        <f>IF('Seaborne Supply'!H4=0,0,('FOB Cost'!H4/(1-Assumptions!$E4/100)+'Freight to Qingdao'!H8)/(1-Assumptions!$D4/100))</f>
        <v>22.589363557105496</v>
      </c>
      <c r="I5" s="33">
        <f>IF('Seaborne Supply'!I4=0,0,('FOB Cost'!I4/(1-Assumptions!$E4/100)+'Freight to Qingdao'!I8)/(1-Assumptions!$D4/100))</f>
        <v>20.764312699796569</v>
      </c>
      <c r="J5" s="33">
        <f>IF('Seaborne Supply'!J4=0,0,('FOB Cost'!J4/(1-Assumptions!$E4/100)+'Freight to Qingdao'!J8)/(1-Assumptions!$D4/100))</f>
        <v>22.888695146759662</v>
      </c>
      <c r="K5" s="33">
        <f>IF('Seaborne Supply'!K4=0,0,('FOB Cost'!K4/(1-Assumptions!$E4/100)+'Freight to Qingdao'!K8)/(1-Assumptions!$D4/100))</f>
        <v>23.632664922987509</v>
      </c>
      <c r="L5" s="33">
        <f>IF('Seaborne Supply'!L4=0,0,('FOB Cost'!L4/(1-Assumptions!$E4/100)+'Freight to Qingdao'!L8)/(1-Assumptions!$D4/100))</f>
        <v>25.018889857599536</v>
      </c>
      <c r="M5" s="33">
        <f>IF('Seaborne Supply'!M4=0,0,('FOB Cost'!M4/(1-Assumptions!$E4/100)+'Freight to Qingdao'!M8)/(1-Assumptions!$D4/100))</f>
        <v>25.106073815751238</v>
      </c>
      <c r="N5" s="33">
        <f>IF('Seaborne Supply'!N4=0,0,('FOB Cost'!N4/(1-Assumptions!$E4/100)+'Freight to Qingdao'!N8)/(1-Assumptions!$D4/100))</f>
        <v>34.632374309793668</v>
      </c>
      <c r="O5" s="33">
        <f>IF('Seaborne Supply'!O4=0,0,('FOB Cost'!O4/(1-Assumptions!$E4/100)+'Freight to Qingdao'!O8)/(1-Assumptions!$D4/100))</f>
        <v>35.870386515547807</v>
      </c>
      <c r="P5" s="33">
        <f>IF('Seaborne Supply'!P4=0,0,('FOB Cost'!P4/(1-Assumptions!$E4/100)+'Freight to Qingdao'!P8)/(1-Assumptions!$D4/100))</f>
        <v>34.347573379831445</v>
      </c>
      <c r="Q5" s="33">
        <f>IF('Seaborne Supply'!Q4=0,0,('FOB Cost'!Q4/(1-Assumptions!$E4/100)+'Freight to Qingdao'!Q8)/(1-Assumptions!$D4/100))</f>
        <v>37.596628886951471</v>
      </c>
      <c r="R5" s="33">
        <f>IF('Seaborne Supply'!R4=0,0,('FOB Cost'!R4/(1-Assumptions!$E4/100)+'Freight to Qingdao'!R8)/(1-Assumptions!$D4/100))</f>
        <v>37.102586457425168</v>
      </c>
      <c r="S5" s="33">
        <f>IF('Seaborne Supply'!S4=0,0,('FOB Cost'!S4/(1-Assumptions!$E4/100)+'Freight to Qingdao'!S8)/(1-Assumptions!$D4/100))</f>
        <v>41.630340017436787</v>
      </c>
      <c r="T5" s="33">
        <f>IF('Seaborne Supply'!T4=0,0,('FOB Cost'!T4/(1-Assumptions!$E4/100)+'Freight to Qingdao'!T8)/(1-Assumptions!$D4/100))</f>
        <v>39.046788724208078</v>
      </c>
      <c r="U5" s="33">
        <f>IF('Seaborne Supply'!U4=0,0,('FOB Cost'!U4/(1-Assumptions!$E4/100)+'Freight to Qingdao'!U8)/(1-Assumptions!$D4/100))</f>
        <v>37.587910491136299</v>
      </c>
      <c r="V5" s="33">
        <f>IF('Seaborne Supply'!V4=0,0,('FOB Cost'!V4/(1-Assumptions!$E4/100)+'Freight to Qingdao'!V8)/(1-Assumptions!$D4/100))</f>
        <v>36.344086021505376</v>
      </c>
      <c r="W5" s="33">
        <f>IF('Seaborne Supply'!W4=0,0,('FOB Cost'!W4/(1-Assumptions!$E4/100)+'Freight to Qingdao'!W8)/(1-Assumptions!$D4/100))</f>
        <v>35.861668119732641</v>
      </c>
      <c r="X5" s="33">
        <f>IF('Seaborne Supply'!X4=0,0,('FOB Cost'!X4/(1-Assumptions!$E4/100)+'Freight to Qingdao'!X8)/(1-Assumptions!$D4/100))</f>
        <v>36.541702993315894</v>
      </c>
      <c r="Y5" s="33">
        <f>IF('Seaborne Supply'!Y4=0,0,('FOB Cost'!Y4/(1-Assumptions!$E4/100)+'Freight to Qingdao'!Y8)/(1-Assumptions!$D4/100))</f>
        <v>37.337983144434759</v>
      </c>
      <c r="Z5" s="33">
        <f>IF('Seaborne Supply'!Z4=0,0,('FOB Cost'!Z4/(1-Assumptions!$E4/100)+'Freight to Qingdao'!Z8)/(1-Assumptions!$D4/100))</f>
        <v>38.018018018018019</v>
      </c>
      <c r="AA5" s="33">
        <f>IF('Seaborne Supply'!AA4=0,0,('FOB Cost'!AA4/(1-Assumptions!$E4/100)+'Freight to Qingdao'!AA8)/(1-Assumptions!$D4/100))</f>
        <v>38.814298169136876</v>
      </c>
      <c r="AB5" s="33">
        <f>IF('Seaborne Supply'!AB4=0,0,('FOB Cost'!AB4/(1-Assumptions!$E4/100)+'Freight to Qingdao'!AB8)/(1-Assumptions!$D4/100))</f>
        <v>39.494333042720136</v>
      </c>
    </row>
    <row r="6" spans="1:28" x14ac:dyDescent="0.2">
      <c r="A6" s="7" t="s">
        <v>66</v>
      </c>
      <c r="B6" s="7"/>
      <c r="C6" s="33">
        <f>IF('Seaborne Supply'!C5=0,0,('FOB Cost'!C5/(1-Assumptions!$E5/100)+'Freight to Qingdao'!C9)/(1-Assumptions!$D5/100))</f>
        <v>47.992910943730607</v>
      </c>
      <c r="D6" s="33">
        <f>IF('Seaborne Supply'!D5=0,0,('FOB Cost'!D5/(1-Assumptions!$E5/100)+'Freight to Qingdao'!D9)/(1-Assumptions!$D5/100))</f>
        <v>61.931767833407172</v>
      </c>
      <c r="E6" s="33">
        <f>IF('Seaborne Supply'!E5=0,0,('FOB Cost'!E5/(1-Assumptions!$E5/100)+'Freight to Qingdao'!E9)/(1-Assumptions!$D5/100))</f>
        <v>65.237040319007519</v>
      </c>
      <c r="F6" s="33">
        <f>IF('Seaborne Supply'!F5=0,0,('FOB Cost'!F5/(1-Assumptions!$E5/100)+'Freight to Qingdao'!F9)/(1-Assumptions!$D5/100))</f>
        <v>61.603898980948152</v>
      </c>
      <c r="G6" s="33">
        <f>IF('Seaborne Supply'!G5=0,0,('FOB Cost'!G5/(1-Assumptions!$E5/100)+'Freight to Qingdao'!G9)/(1-Assumptions!$D5/100))</f>
        <v>49.023777876236892</v>
      </c>
      <c r="H6" s="33">
        <f>IF('Seaborne Supply'!H5=0,0,('FOB Cost'!H5/(1-Assumptions!$E5/100)+'Freight to Qingdao'!H9)/(1-Assumptions!$D5/100))</f>
        <v>37.255944469059223</v>
      </c>
      <c r="I6" s="33">
        <f>IF('Seaborne Supply'!I5=0,0,('FOB Cost'!I5/(1-Assumptions!$E5/100)+'Freight to Qingdao'!I9)/(1-Assumptions!$D5/100))</f>
        <v>23.148722492984785</v>
      </c>
      <c r="J6" s="33">
        <f>IF('Seaborne Supply'!J5=0,0,('FOB Cost'!J5/(1-Assumptions!$E5/100)+'Freight to Qingdao'!J9)/(1-Assumptions!$D5/100))</f>
        <v>22.578644217988479</v>
      </c>
      <c r="K6" s="33">
        <f>IF('Seaborne Supply'!K5=0,0,('FOB Cost'!K5/(1-Assumptions!$E5/100)+'Freight to Qingdao'!K9)/(1-Assumptions!$D5/100))</f>
        <v>22.909466843893068</v>
      </c>
      <c r="L6" s="33">
        <f>IF('Seaborne Supply'!L5=0,0,('FOB Cost'!L5/(1-Assumptions!$E5/100)+'Freight to Qingdao'!L9)/(1-Assumptions!$D5/100))</f>
        <v>23.904888495052425</v>
      </c>
      <c r="M6" s="33">
        <f>IF('Seaborne Supply'!M5=0,0,('FOB Cost'!M5/(1-Assumptions!$E5/100)+'Freight to Qingdao'!M9)/(1-Assumptions!$D5/100))</f>
        <v>22.611135725889824</v>
      </c>
      <c r="N6" s="33">
        <f>IF('Seaborne Supply'!N5=0,0,('FOB Cost'!N5/(1-Assumptions!$E5/100)+'Freight to Qingdao'!N9)/(1-Assumptions!$D5/100))</f>
        <v>29.682469354600499</v>
      </c>
      <c r="O6" s="33">
        <f>IF('Seaborne Supply'!O5=0,0,('FOB Cost'!O5/(1-Assumptions!$E5/100)+'Freight to Qingdao'!O9)/(1-Assumptions!$D5/100))</f>
        <v>29.617486338797814</v>
      </c>
      <c r="P6" s="33">
        <f>IF('Seaborne Supply'!P5=0,0,('FOB Cost'!P5/(1-Assumptions!$E5/100)+'Freight to Qingdao'!P9)/(1-Assumptions!$D5/100))</f>
        <v>30.231871215477771</v>
      </c>
      <c r="Q6" s="33">
        <f>IF('Seaborne Supply'!Q5=0,0,('FOB Cost'!Q5/(1-Assumptions!$E5/100)+'Freight to Qingdao'!Q9)/(1-Assumptions!$D5/100))</f>
        <v>32.588982425047995</v>
      </c>
      <c r="R6" s="33">
        <f>IF('Seaborne Supply'!R5=0,0,('FOB Cost'!R5/(1-Assumptions!$E5/100)+'Freight to Qingdao'!R9)/(1-Assumptions!$D5/100))</f>
        <v>31.200708905626932</v>
      </c>
      <c r="S6" s="33">
        <f>IF('Seaborne Supply'!S5=0,0,('FOB Cost'!S5/(1-Assumptions!$E5/100)+'Freight to Qingdao'!S9)/(1-Assumptions!$D5/100))</f>
        <v>35.802687933835472</v>
      </c>
      <c r="T6" s="33">
        <f>IF('Seaborne Supply'!T5=0,0,('FOB Cost'!T5/(1-Assumptions!$E5/100)+'Freight to Qingdao'!T9)/(1-Assumptions!$D5/100))</f>
        <v>36.768571850539061</v>
      </c>
      <c r="U6" s="33">
        <f>IF('Seaborne Supply'!U5=0,0,('FOB Cost'!U5/(1-Assumptions!$E5/100)+'Freight to Qingdao'!U9)/(1-Assumptions!$D5/100))</f>
        <v>35.368483237335695</v>
      </c>
      <c r="V6" s="33">
        <f>IF('Seaborne Supply'!V5=0,0,('FOB Cost'!V5/(1-Assumptions!$E5/100)+'Freight to Qingdao'!V9)/(1-Assumptions!$D5/100))</f>
        <v>34.104268202628859</v>
      </c>
      <c r="W6" s="33">
        <f>IF('Seaborne Supply'!W5=0,0,('FOB Cost'!W5/(1-Assumptions!$E5/100)+'Freight to Qingdao'!W9)/(1-Assumptions!$D5/100))</f>
        <v>33.37763993501698</v>
      </c>
      <c r="X6" s="33">
        <f>IF('Seaborne Supply'!X5=0,0,('FOB Cost'!X5/(1-Assumptions!$E5/100)+'Freight to Qingdao'!X9)/(1-Assumptions!$D5/100))</f>
        <v>33.359917294343518</v>
      </c>
      <c r="Y6" s="33">
        <f>IF('Seaborne Supply'!Y5=0,0,('FOB Cost'!Y5/(1-Assumptions!$E5/100)+'Freight to Qingdao'!Y9)/(1-Assumptions!$D5/100))</f>
        <v>34.051100280608473</v>
      </c>
      <c r="Z6" s="33">
        <f>IF('Seaborne Supply'!Z5=0,0,('FOB Cost'!Z5/(1-Assumptions!$E5/100)+'Freight to Qingdao'!Z9)/(1-Assumptions!$D5/100))</f>
        <v>34.742283266873429</v>
      </c>
      <c r="AA6" s="33">
        <f>IF('Seaborne Supply'!AA5=0,0,('FOB Cost'!AA5/(1-Assumptions!$E5/100)+'Freight to Qingdao'!AA9)/(1-Assumptions!$D5/100))</f>
        <v>35.433466253138384</v>
      </c>
      <c r="AB6" s="33">
        <f>IF('Seaborne Supply'!AB5=0,0,('FOB Cost'!AB5/(1-Assumptions!$E5/100)+'Freight to Qingdao'!AB9)/(1-Assumptions!$D5/100))</f>
        <v>36.006498301580272</v>
      </c>
    </row>
    <row r="7" spans="1:28" x14ac:dyDescent="0.2">
      <c r="A7" s="7" t="s">
        <v>82</v>
      </c>
      <c r="B7" s="7"/>
      <c r="C7" s="33">
        <f>IF('Seaborne Supply'!C6=0,0,('FOB Cost'!C6/(1-Assumptions!$E6/100)+'Freight to Qingdao'!C10)/(1-Assumptions!$D6/100))</f>
        <v>0</v>
      </c>
      <c r="D7" s="33">
        <f>IF('Seaborne Supply'!D6=0,0,('FOB Cost'!D6/(1-Assumptions!$E6/100)+'Freight to Qingdao'!D10)/(1-Assumptions!$D6/100))</f>
        <v>0</v>
      </c>
      <c r="E7" s="33">
        <f>IF('Seaborne Supply'!E6=0,0,('FOB Cost'!E6/(1-Assumptions!$E6/100)+'Freight to Qingdao'!E10)/(1-Assumptions!$D6/100))</f>
        <v>0</v>
      </c>
      <c r="F7" s="33">
        <f>IF('Seaborne Supply'!F6=0,0,('FOB Cost'!F6/(1-Assumptions!$E6/100)+'Freight to Qingdao'!F10)/(1-Assumptions!$D6/100))</f>
        <v>0</v>
      </c>
      <c r="G7" s="33">
        <f>IF('Seaborne Supply'!G6=0,0,('FOB Cost'!G6/(1-Assumptions!$E6/100)+'Freight to Qingdao'!G10)/(1-Assumptions!$D6/100))</f>
        <v>0</v>
      </c>
      <c r="H7" s="33">
        <f>IF('Seaborne Supply'!H6=0,0,('FOB Cost'!H6/(1-Assumptions!$E6/100)+'Freight to Qingdao'!H10)/(1-Assumptions!$D6/100))</f>
        <v>0</v>
      </c>
      <c r="I7" s="33">
        <f>IF('Seaborne Supply'!I6=0,0,('FOB Cost'!I6/(1-Assumptions!$E6/100)+'Freight to Qingdao'!I10)/(1-Assumptions!$D6/100))</f>
        <v>0</v>
      </c>
      <c r="J7" s="33">
        <f>IF('Seaborne Supply'!J6=0,0,('FOB Cost'!J6/(1-Assumptions!$E6/100)+'Freight to Qingdao'!J10)/(1-Assumptions!$D6/100))</f>
        <v>0</v>
      </c>
      <c r="K7" s="33">
        <f>IF('Seaborne Supply'!K6=0,0,('FOB Cost'!K6/(1-Assumptions!$E6/100)+'Freight to Qingdao'!K10)/(1-Assumptions!$D6/100))</f>
        <v>0</v>
      </c>
      <c r="L7" s="33">
        <f>IF('Seaborne Supply'!L6=0,0,('FOB Cost'!L6/(1-Assumptions!$E6/100)+'Freight to Qingdao'!L10)/(1-Assumptions!$D6/100))</f>
        <v>0</v>
      </c>
      <c r="M7" s="33">
        <f>IF('Seaborne Supply'!M6=0,0,('FOB Cost'!M6/(1-Assumptions!$E6/100)+'Freight to Qingdao'!M10)/(1-Assumptions!$D6/100))</f>
        <v>0</v>
      </c>
      <c r="N7" s="33">
        <f>IF('Seaborne Supply'!N6=0,0,('FOB Cost'!N6/(1-Assumptions!$E6/100)+'Freight to Qingdao'!N10)/(1-Assumptions!$D6/100))</f>
        <v>0</v>
      </c>
      <c r="O7" s="33">
        <f>IF('Seaborne Supply'!O6=0,0,('FOB Cost'!O6/(1-Assumptions!$E6/100)+'Freight to Qingdao'!O10)/(1-Assumptions!$D6/100))</f>
        <v>0</v>
      </c>
      <c r="P7" s="33">
        <f>IF('Seaborne Supply'!P6=0,0,('FOB Cost'!P6/(1-Assumptions!$E6/100)+'Freight to Qingdao'!P10)/(1-Assumptions!$D6/100))</f>
        <v>67.397339502602662</v>
      </c>
      <c r="Q7" s="33">
        <f>IF('Seaborne Supply'!Q6=0,0,('FOB Cost'!Q6/(1-Assumptions!$E6/100)+'Freight to Qingdao'!Q10)/(1-Assumptions!$D6/100))</f>
        <v>66.622325043377671</v>
      </c>
      <c r="R7" s="33">
        <f>IF('Seaborne Supply'!R6=0,0,('FOB Cost'!R6/(1-Assumptions!$E6/100)+'Freight to Qingdao'!R10)/(1-Assumptions!$D6/100))</f>
        <v>63.209947946790059</v>
      </c>
      <c r="S7" s="33">
        <f>IF('Seaborne Supply'!S6=0,0,('FOB Cost'!S6/(1-Assumptions!$E6/100)+'Freight to Qingdao'!S10)/(1-Assumptions!$D6/100))</f>
        <v>65.789473684210535</v>
      </c>
      <c r="T7" s="33">
        <f>IF('Seaborne Supply'!T6=0,0,('FOB Cost'!T6/(1-Assumptions!$E6/100)+'Freight to Qingdao'!T10)/(1-Assumptions!$D6/100))</f>
        <v>64.962406015037601</v>
      </c>
      <c r="U7" s="33">
        <f>IF('Seaborne Supply'!U6=0,0,('FOB Cost'!U6/(1-Assumptions!$E6/100)+'Freight to Qingdao'!U10)/(1-Assumptions!$D6/100))</f>
        <v>65.344129554655865</v>
      </c>
      <c r="V7" s="33">
        <f>IF('Seaborne Supply'!V6=0,0,('FOB Cost'!V6/(1-Assumptions!$E6/100)+'Freight to Qingdao'!V10)/(1-Assumptions!$D6/100))</f>
        <v>66.061307113938696</v>
      </c>
      <c r="W7" s="33">
        <f>IF('Seaborne Supply'!W6=0,0,('FOB Cost'!W6/(1-Assumptions!$E6/100)+'Freight to Qingdao'!W10)/(1-Assumptions!$D6/100))</f>
        <v>67.32215153267785</v>
      </c>
      <c r="X7" s="33">
        <f>IF('Seaborne Supply'!X6=0,0,('FOB Cost'!X6/(1-Assumptions!$E6/100)+'Freight to Qingdao'!X10)/(1-Assumptions!$D6/100))</f>
        <v>68.698669751301338</v>
      </c>
      <c r="Y7" s="33">
        <f>IF('Seaborne Supply'!Y6=0,0,('FOB Cost'!Y6/(1-Assumptions!$E6/100)+'Freight to Qingdao'!Y10)/(1-Assumptions!$D6/100))</f>
        <v>70.075187969924812</v>
      </c>
      <c r="Z7" s="33">
        <f>IF('Seaborne Supply'!Z6=0,0,('FOB Cost'!Z6/(1-Assumptions!$E6/100)+'Freight to Qingdao'!Z10)/(1-Assumptions!$D6/100))</f>
        <v>71.4517061885483</v>
      </c>
      <c r="AA7" s="33">
        <f>IF('Seaborne Supply'!AA6=0,0,('FOB Cost'!AA6/(1-Assumptions!$E6/100)+'Freight to Qingdao'!AA10)/(1-Assumptions!$D6/100))</f>
        <v>72.828224407171788</v>
      </c>
      <c r="AB7" s="33">
        <f>IF('Seaborne Supply'!AB6=0,0,('FOB Cost'!AB6/(1-Assumptions!$E6/100)+'Freight to Qingdao'!AB10)/(1-Assumptions!$D6/100))</f>
        <v>74.320416425679568</v>
      </c>
    </row>
    <row r="8" spans="1:28" x14ac:dyDescent="0.2">
      <c r="A8" s="7" t="s">
        <v>69</v>
      </c>
      <c r="B8" s="7"/>
      <c r="C8" s="33">
        <f>IF('Seaborne Supply'!C7=0,0,('FOB Cost'!C7/(1-Assumptions!$E7/100)+'Freight to Qingdao'!C11)/(1-Assumptions!$D7/100))</f>
        <v>51.477857463021074</v>
      </c>
      <c r="D8" s="33">
        <f>IF('Seaborne Supply'!D7=0,0,('FOB Cost'!D7/(1-Assumptions!$E7/100)+'Freight to Qingdao'!D11)/(1-Assumptions!$D7/100))</f>
        <v>50.0162483191394</v>
      </c>
      <c r="E8" s="33">
        <f>IF('Seaborne Supply'!E7=0,0,('FOB Cost'!E7/(1-Assumptions!$E7/100)+'Freight to Qingdao'!E11)/(1-Assumptions!$D7/100))</f>
        <v>44.549013895114292</v>
      </c>
      <c r="F8" s="33">
        <f>IF('Seaborne Supply'!F7=0,0,('FOB Cost'!F7/(1-Assumptions!$E7/100)+'Freight to Qingdao'!F11)/(1-Assumptions!$D7/100))</f>
        <v>43.920909905871802</v>
      </c>
      <c r="G8" s="33">
        <f>IF('Seaborne Supply'!G7=0,0,('FOB Cost'!G7/(1-Assumptions!$E7/100)+'Freight to Qingdao'!G11)/(1-Assumptions!$D7/100))</f>
        <v>43.905109816225909</v>
      </c>
      <c r="H8" s="33">
        <f>IF('Seaborne Supply'!H7=0,0,('FOB Cost'!H7/(1-Assumptions!$E7/100)+'Freight to Qingdao'!H11)/(1-Assumptions!$D7/100))</f>
        <v>27.135634244733303</v>
      </c>
      <c r="I8" s="33">
        <f>IF('Seaborne Supply'!I7=0,0,('FOB Cost'!I7/(1-Assumptions!$E7/100)+'Freight to Qingdao'!I11)/(1-Assumptions!$D7/100))</f>
        <v>22.250806813088303</v>
      </c>
      <c r="J8" s="33">
        <f>IF('Seaborne Supply'!J7=0,0,('FOB Cost'!J7/(1-Assumptions!$E7/100)+'Freight to Qingdao'!J11)/(1-Assumptions!$D7/100))</f>
        <v>30.399641416405196</v>
      </c>
      <c r="K8" s="33">
        <f>IF('Seaborne Supply'!K7=0,0,('FOB Cost'!K7/(1-Assumptions!$E7/100)+'Freight to Qingdao'!K11)/(1-Assumptions!$D7/100))</f>
        <v>34.08659793814433</v>
      </c>
      <c r="L8" s="33">
        <f>IF('Seaborne Supply'!L7=0,0,('FOB Cost'!L7/(1-Assumptions!$E7/100)+'Freight to Qingdao'!L11)/(1-Assumptions!$D7/100))</f>
        <v>34.65320484087853</v>
      </c>
      <c r="M8" s="33">
        <f>IF('Seaborne Supply'!M7=0,0,('FOB Cost'!M7/(1-Assumptions!$E7/100)+'Freight to Qingdao'!M11)/(1-Assumptions!$D7/100))</f>
        <v>29.826714477812644</v>
      </c>
      <c r="N8" s="33">
        <f>IF('Seaborne Supply'!N7=0,0,('FOB Cost'!N7/(1-Assumptions!$E7/100)+'Freight to Qingdao'!N11)/(1-Assumptions!$D7/100))</f>
        <v>46.114903630658894</v>
      </c>
      <c r="O8" s="33">
        <f>IF('Seaborne Supply'!O7=0,0,('FOB Cost'!O7/(1-Assumptions!$E7/100)+'Freight to Qingdao'!O11)/(1-Assumptions!$D7/100))</f>
        <v>45.581353653070373</v>
      </c>
      <c r="P8" s="33">
        <f>IF('Seaborne Supply'!P7=0,0,('FOB Cost'!P7/(1-Assumptions!$E7/100)+'Freight to Qingdao'!P11)/(1-Assumptions!$D7/100))</f>
        <v>44.926266248319138</v>
      </c>
      <c r="Q8" s="33">
        <f>IF('Seaborne Supply'!Q7=0,0,('FOB Cost'!Q7/(1-Assumptions!$E7/100)+'Freight to Qingdao'!Q11)/(1-Assumptions!$D7/100))</f>
        <v>48.974675033617217</v>
      </c>
      <c r="R8" s="33">
        <f>IF('Seaborne Supply'!R7=0,0,('FOB Cost'!R7/(1-Assumptions!$E7/100)+'Freight to Qingdao'!R11)/(1-Assumptions!$D7/100))</f>
        <v>44.842649036306582</v>
      </c>
      <c r="S8" s="33">
        <f>IF('Seaborne Supply'!S7=0,0,('FOB Cost'!S7/(1-Assumptions!$E7/100)+'Freight to Qingdao'!S11)/(1-Assumptions!$D7/100))</f>
        <v>57.232406992380099</v>
      </c>
      <c r="T8" s="33">
        <f>IF('Seaborne Supply'!T7=0,0,('FOB Cost'!T7/(1-Assumptions!$E7/100)+'Freight to Qingdao'!T11)/(1-Assumptions!$D7/100))</f>
        <v>49.326647243388621</v>
      </c>
      <c r="U8" s="33">
        <f>IF('Seaborne Supply'!U7=0,0,('FOB Cost'!U7/(1-Assumptions!$E7/100)+'Freight to Qingdao'!U11)/(1-Assumptions!$D7/100))</f>
        <v>45.556073509636931</v>
      </c>
      <c r="V8" s="33">
        <f>IF('Seaborne Supply'!V7=0,0,('FOB Cost'!V7/(1-Assumptions!$E7/100)+'Freight to Qingdao'!V11)/(1-Assumptions!$D7/100))</f>
        <v>43.046571044374723</v>
      </c>
      <c r="W8" s="33">
        <f>IF('Seaborne Supply'!W7=0,0,('FOB Cost'!W7/(1-Assumptions!$E7/100)+'Freight to Qingdao'!W11)/(1-Assumptions!$D7/100))</f>
        <v>42.386866875840425</v>
      </c>
      <c r="X8" s="33">
        <f>IF('Seaborne Supply'!X7=0,0,('FOB Cost'!X7/(1-Assumptions!$E7/100)+'Freight to Qingdao'!X11)/(1-Assumptions!$D7/100))</f>
        <v>43.299125952487678</v>
      </c>
      <c r="Y8" s="33">
        <f>IF('Seaborne Supply'!Y7=0,0,('FOB Cost'!Y7/(1-Assumptions!$E7/100)+'Freight to Qingdao'!Y11)/(1-Assumptions!$D7/100))</f>
        <v>44.096167637830568</v>
      </c>
      <c r="Z8" s="33">
        <f>IF('Seaborne Supply'!Z7=0,0,('FOB Cost'!Z7/(1-Assumptions!$E7/100)+'Freight to Qingdao'!Z11)/(1-Assumptions!$D7/100))</f>
        <v>45.008426714477814</v>
      </c>
      <c r="AA8" s="33">
        <f>IF('Seaborne Supply'!AA7=0,0,('FOB Cost'!AA7/(1-Assumptions!$E7/100)+'Freight to Qingdao'!AA11)/(1-Assumptions!$D7/100))</f>
        <v>45.920685791125059</v>
      </c>
      <c r="AB8" s="33">
        <f>IF('Seaborne Supply'!AB7=0,0,('FOB Cost'!AB7/(1-Assumptions!$E7/100)+'Freight to Qingdao'!AB11)/(1-Assumptions!$D7/100))</f>
        <v>46.945002241147471</v>
      </c>
    </row>
    <row r="9" spans="1:28" x14ac:dyDescent="0.2">
      <c r="A9" s="7" t="s">
        <v>73</v>
      </c>
      <c r="B9" s="7"/>
      <c r="C9" s="33">
        <f>IF('Seaborne Supply'!C8=0,0,('FOB Cost'!C8/(1-Assumptions!$E8/100)+'Freight to Qingdao'!C12)/(1-Assumptions!$D8/100))</f>
        <v>56.492604213357232</v>
      </c>
      <c r="D9" s="33">
        <f>IF('Seaborne Supply'!D8=0,0,('FOB Cost'!D8/(1-Assumptions!$E8/100)+'Freight to Qingdao'!D12)/(1-Assumptions!$D8/100))</f>
        <v>55.832586284177495</v>
      </c>
      <c r="E9" s="33">
        <f>IF('Seaborne Supply'!E8=0,0,('FOB Cost'!E8/(1-Assumptions!$E8/100)+'Freight to Qingdao'!E12)/(1-Assumptions!$D8/100))</f>
        <v>49.98767368892873</v>
      </c>
      <c r="F9" s="33">
        <f>IF('Seaborne Supply'!F8=0,0,('FOB Cost'!F8/(1-Assumptions!$E8/100)+'Freight to Qingdao'!F12)/(1-Assumptions!$D8/100))</f>
        <v>49.268265351860151</v>
      </c>
      <c r="G9" s="33">
        <f>IF('Seaborne Supply'!G8=0,0,('FOB Cost'!G8/(1-Assumptions!$E8/100)+'Freight to Qingdao'!G12)/(1-Assumptions!$D8/100))</f>
        <v>49.28507395786643</v>
      </c>
      <c r="H9" s="33">
        <f>IF('Seaborne Supply'!H8=0,0,('FOB Cost'!H8/(1-Assumptions!$E8/100)+'Freight to Qingdao'!H12)/(1-Assumptions!$D8/100))</f>
        <v>31.783953384132673</v>
      </c>
      <c r="I9" s="33">
        <f>IF('Seaborne Supply'!I8=0,0,('FOB Cost'!I8/(1-Assumptions!$E8/100)+'Freight to Qingdao'!I12)/(1-Assumptions!$D8/100))</f>
        <v>27.820484087852979</v>
      </c>
      <c r="J9" s="33">
        <f>IF('Seaborne Supply'!J8=0,0,('FOB Cost'!J8/(1-Assumptions!$E8/100)+'Freight to Qingdao'!J12)/(1-Assumptions!$D8/100))</f>
        <v>35.571492604213354</v>
      </c>
      <c r="K9" s="33">
        <f>IF('Seaborne Supply'!K8=0,0,('FOB Cost'!K8/(1-Assumptions!$E8/100)+'Freight to Qingdao'!K12)/(1-Assumptions!$D8/100))</f>
        <v>37.705064993276558</v>
      </c>
      <c r="L9" s="33">
        <f>IF('Seaborne Supply'!L8=0,0,('FOB Cost'!L8/(1-Assumptions!$E8/100)+'Freight to Qingdao'!L12)/(1-Assumptions!$D8/100))</f>
        <v>40.948005378753926</v>
      </c>
      <c r="M9" s="33">
        <f>IF('Seaborne Supply'!M8=0,0,('FOB Cost'!M8/(1-Assumptions!$E8/100)+'Freight to Qingdao'!M12)/(1-Assumptions!$D8/100))</f>
        <v>36.257283729269389</v>
      </c>
      <c r="N9" s="33">
        <f>IF('Seaborne Supply'!N8=0,0,('FOB Cost'!N8/(1-Assumptions!$E8/100)+'Freight to Qingdao'!N12)/(1-Assumptions!$D8/100))</f>
        <v>53.674361272971758</v>
      </c>
      <c r="O9" s="33">
        <f>IF('Seaborne Supply'!O8=0,0,('FOB Cost'!O8/(1-Assumptions!$E8/100)+'Freight to Qingdao'!O12)/(1-Assumptions!$D8/100))</f>
        <v>54.661586732406988</v>
      </c>
      <c r="P9" s="33">
        <f>IF('Seaborne Supply'!P8=0,0,('FOB Cost'!P8/(1-Assumptions!$E8/100)+'Freight to Qingdao'!P12)/(1-Assumptions!$D8/100))</f>
        <v>53.641864634692965</v>
      </c>
      <c r="Q9" s="33">
        <f>IF('Seaborne Supply'!Q8=0,0,('FOB Cost'!Q8/(1-Assumptions!$E8/100)+'Freight to Qingdao'!Q12)/(1-Assumptions!$D8/100))</f>
        <v>57.429403854773639</v>
      </c>
      <c r="R9" s="33">
        <f>IF('Seaborne Supply'!R8=0,0,('FOB Cost'!R8/(1-Assumptions!$E8/100)+'Freight to Qingdao'!R12)/(1-Assumptions!$D8/100))</f>
        <v>53.4995517705065</v>
      </c>
      <c r="S9" s="33">
        <f>IF('Seaborne Supply'!S8=0,0,('FOB Cost'!S8/(1-Assumptions!$E8/100)+'Freight to Qingdao'!S12)/(1-Assumptions!$D8/100))</f>
        <v>65.632003585835946</v>
      </c>
      <c r="T9" s="33">
        <f>IF('Seaborne Supply'!T8=0,0,('FOB Cost'!T8/(1-Assumptions!$E8/100)+'Freight to Qingdao'!T12)/(1-Assumptions!$D8/100))</f>
        <v>57.972882115643209</v>
      </c>
      <c r="U9" s="33">
        <f>IF('Seaborne Supply'!U8=0,0,('FOB Cost'!U8/(1-Assumptions!$E8/100)+'Freight to Qingdao'!U12)/(1-Assumptions!$D8/100))</f>
        <v>54.352308381891525</v>
      </c>
      <c r="V9" s="33">
        <f>IF('Seaborne Supply'!V8=0,0,('FOB Cost'!V8/(1-Assumptions!$E8/100)+'Freight to Qingdao'!V12)/(1-Assumptions!$D8/100))</f>
        <v>52.270282384580902</v>
      </c>
      <c r="W9" s="33">
        <f>IF('Seaborne Supply'!W8=0,0,('FOB Cost'!W8/(1-Assumptions!$E8/100)+'Freight to Qingdao'!W12)/(1-Assumptions!$D8/100))</f>
        <v>51.584491259524874</v>
      </c>
      <c r="X9" s="33">
        <f>IF('Seaborne Supply'!X8=0,0,('FOB Cost'!X8/(1-Assumptions!$E8/100)+'Freight to Qingdao'!X12)/(1-Assumptions!$D8/100))</f>
        <v>52.688256387270279</v>
      </c>
      <c r="Y9" s="33">
        <f>IF('Seaborne Supply'!Y8=0,0,('FOB Cost'!Y8/(1-Assumptions!$E8/100)+'Freight to Qingdao'!Y12)/(1-Assumptions!$D8/100))</f>
        <v>53.68332586284177</v>
      </c>
      <c r="Z9" s="33">
        <f>IF('Seaborne Supply'!Z8=0,0,('FOB Cost'!Z8/(1-Assumptions!$E8/100)+'Freight to Qingdao'!Z12)/(1-Assumptions!$D8/100))</f>
        <v>54.787090990587174</v>
      </c>
      <c r="AA9" s="33">
        <f>IF('Seaborne Supply'!AA8=0,0,('FOB Cost'!AA8/(1-Assumptions!$E8/100)+'Freight to Qingdao'!AA12)/(1-Assumptions!$D8/100))</f>
        <v>55.890856118332586</v>
      </c>
      <c r="AB9" s="33">
        <f>IF('Seaborne Supply'!AB8=0,0,('FOB Cost'!AB8/(1-Assumptions!$E8/100)+'Freight to Qingdao'!AB12)/(1-Assumptions!$D8/100))</f>
        <v>57.106678619453156</v>
      </c>
    </row>
    <row r="10" spans="1:28" x14ac:dyDescent="0.2">
      <c r="A10" s="7" t="s">
        <v>74</v>
      </c>
      <c r="B10" s="7"/>
      <c r="C10" s="33">
        <f>IF('Seaborne Supply'!C9=0,0,('FOB Cost'!C9/(1-Assumptions!$E9/100)+'Freight to Qingdao'!C13)/(1-Assumptions!$D9/100))</f>
        <v>53.144205960227595</v>
      </c>
      <c r="D10" s="33">
        <f>IF('Seaborne Supply'!D9=0,0,('FOB Cost'!D9/(1-Assumptions!$E9/100)+'Freight to Qingdao'!D13)/(1-Assumptions!$D9/100))</f>
        <v>51.876795673483187</v>
      </c>
      <c r="E10" s="33">
        <f>IF('Seaborne Supply'!E9=0,0,('FOB Cost'!E9/(1-Assumptions!$E9/100)+'Freight to Qingdao'!E13)/(1-Assumptions!$D9/100))</f>
        <v>46.532691115993458</v>
      </c>
      <c r="F10" s="33">
        <f>IF('Seaborne Supply'!F9=0,0,('FOB Cost'!F9/(1-Assumptions!$E9/100)+'Freight to Qingdao'!F13)/(1-Assumptions!$D9/100))</f>
        <v>45.824652132274238</v>
      </c>
      <c r="G10" s="33">
        <f>IF('Seaborne Supply'!G9=0,0,('FOB Cost'!G9/(1-Assumptions!$E9/100)+'Freight to Qingdao'!G13)/(1-Assumptions!$D9/100))</f>
        <v>45.836088107712243</v>
      </c>
      <c r="H10" s="33">
        <f>IF('Seaborne Supply'!H9=0,0,('FOB Cost'!H9/(1-Assumptions!$E9/100)+'Freight to Qingdao'!H13)/(1-Assumptions!$D9/100))</f>
        <v>26.446555123655006</v>
      </c>
      <c r="I10" s="33">
        <f>IF('Seaborne Supply'!I9=0,0,('FOB Cost'!I9/(1-Assumptions!$E9/100)+'Freight to Qingdao'!I13)/(1-Assumptions!$D9/100))</f>
        <v>24.691870880513772</v>
      </c>
      <c r="J10" s="33">
        <f>IF('Seaborne Supply'!J9=0,0,('FOB Cost'!J9/(1-Assumptions!$E9/100)+'Freight to Qingdao'!J13)/(1-Assumptions!$D9/100))</f>
        <v>33.115249845079148</v>
      </c>
      <c r="K10" s="33">
        <f>IF('Seaborne Supply'!K9=0,0,('FOB Cost'!K9/(1-Assumptions!$E9/100)+'Freight to Qingdao'!K13)/(1-Assumptions!$D9/100))</f>
        <v>35.633462903498391</v>
      </c>
      <c r="L10" s="33">
        <f>IF('Seaborne Supply'!L9=0,0,('FOB Cost'!L9/(1-Assumptions!$E9/100)+'Freight to Qingdao'!L13)/(1-Assumptions!$D9/100))</f>
        <v>38.558300940792066</v>
      </c>
      <c r="M10" s="33">
        <f>IF('Seaborne Supply'!M9=0,0,('FOB Cost'!M9/(1-Assumptions!$E9/100)+'Freight to Qingdao'!M13)/(1-Assumptions!$D9/100))</f>
        <v>34.927113965410399</v>
      </c>
      <c r="N10" s="33">
        <f>IF('Seaborne Supply'!N9=0,0,('FOB Cost'!N9/(1-Assumptions!$E9/100)+'Freight to Qingdao'!N13)/(1-Assumptions!$D9/100))</f>
        <v>52.006072897301557</v>
      </c>
      <c r="O10" s="33">
        <f>IF('Seaborne Supply'!O9=0,0,('FOB Cost'!O9/(1-Assumptions!$E9/100)+'Freight to Qingdao'!O13)/(1-Assumptions!$D9/100))</f>
        <v>52.969184834657199</v>
      </c>
      <c r="P10" s="33">
        <f>IF('Seaborne Supply'!P9=0,0,('FOB Cost'!P9/(1-Assumptions!$E9/100)+'Freight to Qingdao'!P13)/(1-Assumptions!$D9/100))</f>
        <v>51.911103599797194</v>
      </c>
      <c r="Q10" s="33">
        <f>IF('Seaborne Supply'!Q9=0,0,('FOB Cost'!Q9/(1-Assumptions!$E9/100)+'Freight to Qingdao'!Q13)/(1-Assumptions!$D9/100))</f>
        <v>55.763055602501268</v>
      </c>
      <c r="R10" s="33">
        <f>IF('Seaborne Supply'!R9=0,0,('FOB Cost'!R9/(1-Assumptions!$E9/100)+'Freight to Qingdao'!R13)/(1-Assumptions!$D9/100))</f>
        <v>51.777849135259984</v>
      </c>
      <c r="S10" s="33">
        <f>IF('Seaborne Supply'!S9=0,0,('FOB Cost'!S9/(1-Assumptions!$E9/100)+'Freight to Qingdao'!S13)/(1-Assumptions!$D9/100))</f>
        <v>64.076052053405434</v>
      </c>
      <c r="T10" s="33">
        <f>IF('Seaborne Supply'!T9=0,0,('FOB Cost'!T9/(1-Assumptions!$E9/100)+'Freight to Qingdao'!T13)/(1-Assumptions!$D9/100))</f>
        <v>56.314968170807283</v>
      </c>
      <c r="U10" s="33">
        <f>IF('Seaborne Supply'!U9=0,0,('FOB Cost'!U9/(1-Assumptions!$E9/100)+'Freight to Qingdao'!U13)/(1-Assumptions!$D9/100))</f>
        <v>52.649473269111596</v>
      </c>
      <c r="V10" s="33">
        <f>IF('Seaborne Supply'!V9=0,0,('FOB Cost'!V9/(1-Assumptions!$E9/100)+'Freight to Qingdao'!V13)/(1-Assumptions!$D9/100))</f>
        <v>50.540769534110751</v>
      </c>
      <c r="W10" s="33">
        <f>IF('Seaborne Supply'!W9=0,0,('FOB Cost'!W9/(1-Assumptions!$E9/100)+'Freight to Qingdao'!W13)/(1-Assumptions!$D9/100))</f>
        <v>49.855602501267533</v>
      </c>
      <c r="X10" s="33">
        <f>IF('Seaborne Supply'!X9=0,0,('FOB Cost'!X9/(1-Assumptions!$E9/100)+'Freight to Qingdao'!X13)/(1-Assumptions!$D9/100))</f>
        <v>50.970863613317562</v>
      </c>
      <c r="Y10" s="33">
        <f>IF('Seaborne Supply'!Y9=0,0,('FOB Cost'!Y9/(1-Assumptions!$E9/100)+'Freight to Qingdao'!Y13)/(1-Assumptions!$D9/100))</f>
        <v>51.863072502957579</v>
      </c>
      <c r="Z10" s="33">
        <f>IF('Seaborne Supply'!Z9=0,0,('FOB Cost'!Z9/(1-Assumptions!$E9/100)+'Freight to Qingdao'!Z13)/(1-Assumptions!$D9/100))</f>
        <v>52.978333615007607</v>
      </c>
      <c r="AA10" s="33">
        <f>IF('Seaborne Supply'!AA9=0,0,('FOB Cost'!AA9/(1-Assumptions!$E9/100)+'Freight to Qingdao'!AA13)/(1-Assumptions!$D9/100))</f>
        <v>54.093594727057635</v>
      </c>
      <c r="AB10" s="33">
        <f>IF('Seaborne Supply'!AB9=0,0,('FOB Cost'!AB9/(1-Assumptions!$E9/100)+'Freight to Qingdao'!AB13)/(1-Assumptions!$D9/100))</f>
        <v>55.096186130358852</v>
      </c>
    </row>
    <row r="11" spans="1:28" x14ac:dyDescent="0.2">
      <c r="A11" s="7" t="s">
        <v>83</v>
      </c>
      <c r="B11" s="7"/>
      <c r="C11" s="33">
        <f>IF('Seaborne Supply'!C10=0,0,('FOB Cost'!C10/(1-Assumptions!$E10/100)+'Freight to Qingdao'!C14)/(1-Assumptions!$D10/100))</f>
        <v>0</v>
      </c>
      <c r="D11" s="33">
        <f>IF('Seaborne Supply'!D10=0,0,('FOB Cost'!D10/(1-Assumptions!$E10/100)+'Freight to Qingdao'!D14)/(1-Assumptions!$D10/100))</f>
        <v>0</v>
      </c>
      <c r="E11" s="33">
        <f>IF('Seaborne Supply'!E10=0,0,('FOB Cost'!E10/(1-Assumptions!$E10/100)+'Freight to Qingdao'!E14)/(1-Assumptions!$D10/100))</f>
        <v>0</v>
      </c>
      <c r="F11" s="33">
        <f>IF('Seaborne Supply'!F10=0,0,('FOB Cost'!F10/(1-Assumptions!$E10/100)+'Freight to Qingdao'!F14)/(1-Assumptions!$D10/100))</f>
        <v>0</v>
      </c>
      <c r="G11" s="33">
        <f>IF('Seaborne Supply'!G10=0,0,('FOB Cost'!G10/(1-Assumptions!$E10/100)+'Freight to Qingdao'!G14)/(1-Assumptions!$D10/100))</f>
        <v>0</v>
      </c>
      <c r="H11" s="33">
        <f>IF('Seaborne Supply'!H10=0,0,('FOB Cost'!H10/(1-Assumptions!$E10/100)+'Freight to Qingdao'!H14)/(1-Assumptions!$D10/100))</f>
        <v>0</v>
      </c>
      <c r="I11" s="33">
        <f>IF('Seaborne Supply'!I10=0,0,('FOB Cost'!I10/(1-Assumptions!$E10/100)+'Freight to Qingdao'!I14)/(1-Assumptions!$D10/100))</f>
        <v>36.618683901292599</v>
      </c>
      <c r="J11" s="33">
        <f>IF('Seaborne Supply'!J10=0,0,('FOB Cost'!J10/(1-Assumptions!$E10/100)+'Freight to Qingdao'!J14)/(1-Assumptions!$D10/100))</f>
        <v>36.768507638072847</v>
      </c>
      <c r="K11" s="33">
        <f>IF('Seaborne Supply'!K10=0,0,('FOB Cost'!K10/(1-Assumptions!$E10/100)+'Freight to Qingdao'!K14)/(1-Assumptions!$D10/100))</f>
        <v>36.462984723854284</v>
      </c>
      <c r="L11" s="33">
        <f>IF('Seaborne Supply'!L10=0,0,('FOB Cost'!L10/(1-Assumptions!$E10/100)+'Freight to Qingdao'!L14)/(1-Assumptions!$D10/100))</f>
        <v>35.396592244418329</v>
      </c>
      <c r="M11" s="33">
        <f>IF('Seaborne Supply'!M10=0,0,('FOB Cost'!M10/(1-Assumptions!$E10/100)+'Freight to Qingdao'!M14)/(1-Assumptions!$D10/100))</f>
        <v>33.134547591069328</v>
      </c>
      <c r="N11" s="33">
        <f>IF('Seaborne Supply'!N10=0,0,('FOB Cost'!N10/(1-Assumptions!$E10/100)+'Freight to Qingdao'!N14)/(1-Assumptions!$D10/100))</f>
        <v>40.179200940070501</v>
      </c>
      <c r="O11" s="33">
        <f>IF('Seaborne Supply'!O10=0,0,('FOB Cost'!O10/(1-Assumptions!$E10/100)+'Freight to Qingdao'!O14)/(1-Assumptions!$D10/100))</f>
        <v>38.962984723854284</v>
      </c>
      <c r="P11" s="33">
        <f>IF('Seaborne Supply'!P10=0,0,('FOB Cost'!P10/(1-Assumptions!$E10/100)+'Freight to Qingdao'!P14)/(1-Assumptions!$D10/100))</f>
        <v>38.833725029377192</v>
      </c>
      <c r="Q11" s="33">
        <f>IF('Seaborne Supply'!Q10=0,0,('FOB Cost'!Q10/(1-Assumptions!$E10/100)+'Freight to Qingdao'!Q14)/(1-Assumptions!$D10/100))</f>
        <v>40.35546415981198</v>
      </c>
      <c r="R11" s="33">
        <f>IF('Seaborne Supply'!R10=0,0,('FOB Cost'!R10/(1-Assumptions!$E10/100)+'Freight to Qingdao'!R14)/(1-Assumptions!$D10/100))</f>
        <v>40.443595769682723</v>
      </c>
      <c r="S11" s="33">
        <f>IF('Seaborne Supply'!S10=0,0,('FOB Cost'!S10/(1-Assumptions!$E10/100)+'Freight to Qingdao'!S14)/(1-Assumptions!$D10/100))</f>
        <v>44.139247943595763</v>
      </c>
      <c r="T11" s="33">
        <f>IF('Seaborne Supply'!T10=0,0,('FOB Cost'!T10/(1-Assumptions!$E10/100)+'Freight to Qingdao'!T14)/(1-Assumptions!$D10/100))</f>
        <v>41.703877790834305</v>
      </c>
      <c r="U11" s="33">
        <f>IF('Seaborne Supply'!U10=0,0,('FOB Cost'!U10/(1-Assumptions!$E10/100)+'Freight to Qingdao'!U14)/(1-Assumptions!$D10/100))</f>
        <v>40.464159811985887</v>
      </c>
      <c r="V11" s="33">
        <f>IF('Seaborne Supply'!V10=0,0,('FOB Cost'!V10/(1-Assumptions!$E10/100)+'Freight to Qingdao'!V14)/(1-Assumptions!$D10/100))</f>
        <v>39.441833137485304</v>
      </c>
      <c r="W11" s="33">
        <f>IF('Seaborne Supply'!W10=0,0,('FOB Cost'!W10/(1-Assumptions!$E10/100)+'Freight to Qingdao'!W14)/(1-Assumptions!$D10/100))</f>
        <v>39.071680376028198</v>
      </c>
      <c r="X11" s="33">
        <f>IF('Seaborne Supply'!X10=0,0,('FOB Cost'!X10/(1-Assumptions!$E10/100)+'Freight to Qingdao'!X14)/(1-Assumptions!$D10/100))</f>
        <v>39.87661574618096</v>
      </c>
      <c r="Y11" s="33">
        <f>IF('Seaborne Supply'!Y10=0,0,('FOB Cost'!Y10/(1-Assumptions!$E10/100)+'Freight to Qingdao'!Y14)/(1-Assumptions!$D10/100))</f>
        <v>40.681551116333722</v>
      </c>
      <c r="Z11" s="33">
        <f>IF('Seaborne Supply'!Z10=0,0,('FOB Cost'!Z10/(1-Assumptions!$E10/100)+'Freight to Qingdao'!Z14)/(1-Assumptions!$D10/100))</f>
        <v>41.486486486486484</v>
      </c>
      <c r="AA11" s="33">
        <f>IF('Seaborne Supply'!AA10=0,0,('FOB Cost'!AA10/(1-Assumptions!$E10/100)+'Freight to Qingdao'!AA14)/(1-Assumptions!$D10/100))</f>
        <v>42.291421856639246</v>
      </c>
      <c r="AB11" s="33">
        <f>IF('Seaborne Supply'!AB10=0,0,('FOB Cost'!AB10/(1-Assumptions!$E10/100)+'Freight to Qingdao'!AB14)/(1-Assumptions!$D10/100))</f>
        <v>43.096357226792001</v>
      </c>
    </row>
    <row r="12" spans="1:28" x14ac:dyDescent="0.2">
      <c r="A12" s="7" t="s">
        <v>84</v>
      </c>
      <c r="B12" s="7"/>
      <c r="C12" s="33">
        <f>IF('Seaborne Supply'!C11=0,0,('FOB Cost'!C11/(1-Assumptions!$E11/100)+'Freight to Qingdao'!C15)/(1-Assumptions!$D11/100))</f>
        <v>0</v>
      </c>
      <c r="D12" s="33">
        <f>IF('Seaborne Supply'!D11=0,0,('FOB Cost'!D11/(1-Assumptions!$E11/100)+'Freight to Qingdao'!D15)/(1-Assumptions!$D11/100))</f>
        <v>0</v>
      </c>
      <c r="E12" s="33">
        <f>IF('Seaborne Supply'!E11=0,0,('FOB Cost'!E11/(1-Assumptions!$E11/100)+'Freight to Qingdao'!E15)/(1-Assumptions!$D11/100))</f>
        <v>0</v>
      </c>
      <c r="F12" s="33">
        <f>IF('Seaborne Supply'!F11=0,0,('FOB Cost'!F11/(1-Assumptions!$E11/100)+'Freight to Qingdao'!F15)/(1-Assumptions!$D11/100))</f>
        <v>0</v>
      </c>
      <c r="G12" s="33">
        <f>IF('Seaborne Supply'!G11=0,0,('FOB Cost'!G11/(1-Assumptions!$E11/100)+'Freight to Qingdao'!G15)/(1-Assumptions!$D11/100))</f>
        <v>0</v>
      </c>
      <c r="H12" s="33">
        <f>IF('Seaborne Supply'!H11=0,0,('FOB Cost'!H11/(1-Assumptions!$E11/100)+'Freight to Qingdao'!H15)/(1-Assumptions!$D11/100))</f>
        <v>0</v>
      </c>
      <c r="I12" s="33">
        <f>IF('Seaborne Supply'!I11=0,0,('FOB Cost'!I11/(1-Assumptions!$E11/100)+'Freight to Qingdao'!I15)/(1-Assumptions!$D11/100))</f>
        <v>0</v>
      </c>
      <c r="J12" s="33">
        <f>IF('Seaborne Supply'!J11=0,0,('FOB Cost'!J11/(1-Assumptions!$E11/100)+'Freight to Qingdao'!J15)/(1-Assumptions!$D11/100))</f>
        <v>0</v>
      </c>
      <c r="K12" s="33">
        <f>IF('Seaborne Supply'!K11=0,0,('FOB Cost'!K11/(1-Assumptions!$E11/100)+'Freight to Qingdao'!K15)/(1-Assumptions!$D11/100))</f>
        <v>0</v>
      </c>
      <c r="L12" s="33">
        <f>IF('Seaborne Supply'!L11=0,0,('FOB Cost'!L11/(1-Assumptions!$E11/100)+'Freight to Qingdao'!L15)/(1-Assumptions!$D11/100))</f>
        <v>0</v>
      </c>
      <c r="M12" s="33">
        <f>IF('Seaborne Supply'!M11=0,0,('FOB Cost'!M11/(1-Assumptions!$E11/100)+'Freight to Qingdao'!M15)/(1-Assumptions!$D11/100))</f>
        <v>0</v>
      </c>
      <c r="N12" s="33">
        <f>IF('Seaborne Supply'!N11=0,0,('FOB Cost'!N11/(1-Assumptions!$E11/100)+'Freight to Qingdao'!N15)/(1-Assumptions!$D11/100))</f>
        <v>0</v>
      </c>
      <c r="O12" s="33">
        <f>IF('Seaborne Supply'!O11=0,0,('FOB Cost'!O11/(1-Assumptions!$E11/100)+'Freight to Qingdao'!O15)/(1-Assumptions!$D11/100))</f>
        <v>0</v>
      </c>
      <c r="P12" s="33">
        <f>IF('Seaborne Supply'!P11=0,0,('FOB Cost'!P11/(1-Assumptions!$E11/100)+'Freight to Qingdao'!P15)/(1-Assumptions!$D11/100))</f>
        <v>0</v>
      </c>
      <c r="Q12" s="33">
        <f>IF('Seaborne Supply'!Q11=0,0,('FOB Cost'!Q11/(1-Assumptions!$E11/100)+'Freight to Qingdao'!Q15)/(1-Assumptions!$D11/100))</f>
        <v>75.937455934195057</v>
      </c>
      <c r="R12" s="33">
        <f>IF('Seaborne Supply'!R11=0,0,('FOB Cost'!R11/(1-Assumptions!$E11/100)+'Freight to Qingdao'!R15)/(1-Assumptions!$D11/100))</f>
        <v>58.131639247943589</v>
      </c>
      <c r="S12" s="33">
        <f>IF('Seaborne Supply'!S11=0,0,('FOB Cost'!S11/(1-Assumptions!$E11/100)+'Freight to Qingdao'!S15)/(1-Assumptions!$D11/100))</f>
        <v>55.47517626321973</v>
      </c>
      <c r="T12" s="33">
        <f>IF('Seaborne Supply'!T11=0,0,('FOB Cost'!T11/(1-Assumptions!$E11/100)+'Freight to Qingdao'!T15)/(1-Assumptions!$D11/100))</f>
        <v>58.154759106933021</v>
      </c>
      <c r="U12" s="33">
        <f>IF('Seaborne Supply'!U11=0,0,('FOB Cost'!U11/(1-Assumptions!$E11/100)+'Freight to Qingdao'!U15)/(1-Assumptions!$D11/100))</f>
        <v>56.660458284371323</v>
      </c>
      <c r="V12" s="33">
        <f>IF('Seaborne Supply'!V11=0,0,('FOB Cost'!V11/(1-Assumptions!$E11/100)+'Freight to Qingdao'!V15)/(1-Assumptions!$D11/100))</f>
        <v>55.625088131609871</v>
      </c>
      <c r="W12" s="33">
        <f>IF('Seaborne Supply'!W11=0,0,('FOB Cost'!W11/(1-Assumptions!$E11/100)+'Freight to Qingdao'!W15)/(1-Assumptions!$D11/100))</f>
        <v>55.849001175088127</v>
      </c>
      <c r="X12" s="33">
        <f>IF('Seaborne Supply'!X11=0,0,('FOB Cost'!X11/(1-Assumptions!$E11/100)+'Freight to Qingdao'!X15)/(1-Assumptions!$D11/100))</f>
        <v>57.012984723854288</v>
      </c>
      <c r="Y12" s="33">
        <f>IF('Seaborne Supply'!Y11=0,0,('FOB Cost'!Y11/(1-Assumptions!$E11/100)+'Freight to Qingdao'!Y15)/(1-Assumptions!$D11/100))</f>
        <v>58.059459459459461</v>
      </c>
      <c r="Z12" s="33">
        <f>IF('Seaborne Supply'!Z11=0,0,('FOB Cost'!Z11/(1-Assumptions!$E11/100)+'Freight to Qingdao'!Z15)/(1-Assumptions!$D11/100))</f>
        <v>59.223443008225608</v>
      </c>
      <c r="AA12" s="33">
        <f>IF('Seaborne Supply'!AA11=0,0,('FOB Cost'!AA11/(1-Assumptions!$E11/100)+'Freight to Qingdao'!AA15)/(1-Assumptions!$D11/100))</f>
        <v>60.387426556991777</v>
      </c>
      <c r="AB12" s="33">
        <f>IF('Seaborne Supply'!AB11=0,0,('FOB Cost'!AB11/(1-Assumptions!$E11/100)+'Freight to Qingdao'!AB15)/(1-Assumptions!$D11/100))</f>
        <v>61.668918918918912</v>
      </c>
    </row>
    <row r="13" spans="1:28" x14ac:dyDescent="0.2">
      <c r="A13" s="7" t="s">
        <v>85</v>
      </c>
      <c r="B13" s="7"/>
      <c r="C13" s="33">
        <f>IF('Seaborne Supply'!C12=0,0,('FOB Cost'!C12/(1-Assumptions!$E12/100)+'Freight to Qingdao'!C16)/(1-Assumptions!$D12/100))</f>
        <v>0</v>
      </c>
      <c r="D13" s="33">
        <f>IF('Seaborne Supply'!D12=0,0,('FOB Cost'!D12/(1-Assumptions!$E12/100)+'Freight to Qingdao'!D16)/(1-Assumptions!$D12/100))</f>
        <v>0</v>
      </c>
      <c r="E13" s="33">
        <f>IF('Seaborne Supply'!E12=0,0,('FOB Cost'!E12/(1-Assumptions!$E12/100)+'Freight to Qingdao'!E16)/(1-Assumptions!$D12/100))</f>
        <v>0</v>
      </c>
      <c r="F13" s="33">
        <f>IF('Seaborne Supply'!F12=0,0,('FOB Cost'!F12/(1-Assumptions!$E12/100)+'Freight to Qingdao'!F16)/(1-Assumptions!$D12/100))</f>
        <v>0</v>
      </c>
      <c r="G13" s="33">
        <f>IF('Seaborne Supply'!G12=0,0,('FOB Cost'!G12/(1-Assumptions!$E12/100)+'Freight to Qingdao'!G16)/(1-Assumptions!$D12/100))</f>
        <v>0</v>
      </c>
      <c r="H13" s="33">
        <f>IF('Seaborne Supply'!H12=0,0,('FOB Cost'!H12/(1-Assumptions!$E12/100)+'Freight to Qingdao'!H16)/(1-Assumptions!$D12/100))</f>
        <v>42.027914128570572</v>
      </c>
      <c r="I13" s="33">
        <f>IF('Seaborne Supply'!I12=0,0,('FOB Cost'!I12/(1-Assumptions!$E12/100)+'Freight to Qingdao'!I16)/(1-Assumptions!$D12/100))</f>
        <v>40.407475309007033</v>
      </c>
      <c r="J13" s="33">
        <f>IF('Seaborne Supply'!J12=0,0,('FOB Cost'!J12/(1-Assumptions!$E12/100)+'Freight to Qingdao'!J16)/(1-Assumptions!$D12/100))</f>
        <v>43.515287716600618</v>
      </c>
      <c r="K13" s="33">
        <f>IF('Seaborne Supply'!K12=0,0,('FOB Cost'!K12/(1-Assumptions!$E12/100)+'Freight to Qingdao'!K16)/(1-Assumptions!$D12/100))</f>
        <v>48.530368442841095</v>
      </c>
      <c r="L13" s="33">
        <f>IF('Seaborne Supply'!L12=0,0,('FOB Cost'!L12/(1-Assumptions!$E12/100)+'Freight to Qingdao'!L16)/(1-Assumptions!$D12/100))</f>
        <v>48.639777633213086</v>
      </c>
      <c r="M13" s="33">
        <f>IF('Seaborne Supply'!M12=0,0,('FOB Cost'!M12/(1-Assumptions!$E12/100)+'Freight to Qingdao'!M16)/(1-Assumptions!$D12/100))</f>
        <v>51.685492932757704</v>
      </c>
      <c r="N13" s="33">
        <f>IF('Seaborne Supply'!N12=0,0,('FOB Cost'!N12/(1-Assumptions!$E12/100)+'Freight to Qingdao'!N16)/(1-Assumptions!$D12/100))</f>
        <v>76.518422142054519</v>
      </c>
      <c r="O13" s="33">
        <f>IF('Seaborne Supply'!O12=0,0,('FOB Cost'!O12/(1-Assumptions!$E12/100)+'Freight to Qingdao'!O16)/(1-Assumptions!$D12/100))</f>
        <v>63.11136081376781</v>
      </c>
      <c r="P13" s="33">
        <f>IF('Seaborne Supply'!P12=0,0,('FOB Cost'!P12/(1-Assumptions!$E12/100)+'Freight to Qingdao'!P16)/(1-Assumptions!$D12/100))</f>
        <v>66.174818144183561</v>
      </c>
      <c r="Q13" s="33">
        <f>IF('Seaborne Supply'!Q12=0,0,('FOB Cost'!Q12/(1-Assumptions!$E12/100)+'Freight to Qingdao'!Q16)/(1-Assumptions!$D12/100))</f>
        <v>68.534508250044354</v>
      </c>
      <c r="R13" s="33">
        <f>IF('Seaborne Supply'!R12=0,0,('FOB Cost'!R12/(1-Assumptions!$E12/100)+'Freight to Qingdao'!R16)/(1-Assumptions!$D12/100))</f>
        <v>68.150097581169788</v>
      </c>
      <c r="S13" s="33">
        <f>IF('Seaborne Supply'!S12=0,0,('FOB Cost'!S12/(1-Assumptions!$E12/100)+'Freight to Qingdao'!S16)/(1-Assumptions!$D12/100))</f>
        <v>77.074339109350035</v>
      </c>
      <c r="T13" s="33">
        <f>IF('Seaborne Supply'!T12=0,0,('FOB Cost'!T12/(1-Assumptions!$E12/100)+'Freight to Qingdao'!T16)/(1-Assumptions!$D12/100))</f>
        <v>75.214382873026196</v>
      </c>
      <c r="U13" s="33">
        <f>IF('Seaborne Supply'!U12=0,0,('FOB Cost'!U12/(1-Assumptions!$E12/100)+'Freight to Qingdao'!U16)/(1-Assumptions!$D12/100))</f>
        <v>75.859009994677379</v>
      </c>
      <c r="V13" s="33">
        <f>IF('Seaborne Supply'!V12=0,0,('FOB Cost'!V12/(1-Assumptions!$E12/100)+'Freight to Qingdao'!V16)/(1-Assumptions!$D12/100))</f>
        <v>76.722455497072559</v>
      </c>
      <c r="W13" s="33">
        <f>IF('Seaborne Supply'!W12=0,0,('FOB Cost'!W12/(1-Assumptions!$E12/100)+'Freight to Qingdao'!W16)/(1-Assumptions!$D12/100))</f>
        <v>78.242356141699688</v>
      </c>
      <c r="X13" s="33">
        <f>IF('Seaborne Supply'!X12=0,0,('FOB Cost'!X12/(1-Assumptions!$E12/100)+'Freight to Qingdao'!X16)/(1-Assumptions!$D12/100))</f>
        <v>0</v>
      </c>
      <c r="Y13" s="33">
        <f>IF('Seaborne Supply'!Y12=0,0,('FOB Cost'!Y12/(1-Assumptions!$E12/100)+'Freight to Qingdao'!Y16)/(1-Assumptions!$D12/100))</f>
        <v>0</v>
      </c>
      <c r="Z13" s="33">
        <f>IF('Seaborne Supply'!Z12=0,0,('FOB Cost'!Z12/(1-Assumptions!$E12/100)+'Freight to Qingdao'!Z16)/(1-Assumptions!$D12/100))</f>
        <v>0</v>
      </c>
      <c r="AA13" s="33">
        <f>IF('Seaborne Supply'!AA12=0,0,('FOB Cost'!AA12/(1-Assumptions!$E12/100)+'Freight to Qingdao'!AA16)/(1-Assumptions!$D12/100))</f>
        <v>0</v>
      </c>
      <c r="AB13" s="33">
        <f>IF('Seaborne Supply'!AB12=0,0,('FOB Cost'!AB12/(1-Assumptions!$E12/100)+'Freight to Qingdao'!AB16)/(1-Assumptions!$D12/100))</f>
        <v>0</v>
      </c>
    </row>
    <row r="14" spans="1:28" x14ac:dyDescent="0.2">
      <c r="A14" s="7" t="s">
        <v>81</v>
      </c>
      <c r="B14" s="7"/>
      <c r="C14" s="33">
        <f>IF('Seaborne Supply'!C13=0,0,('FOB Cost'!C13/(1-Assumptions!$E13/100)+'Freight to Qingdao'!C17)/(1-Assumptions!$D13/100))</f>
        <v>64.888624888624875</v>
      </c>
      <c r="D14" s="33">
        <f>IF('Seaborne Supply'!D13=0,0,('FOB Cost'!D13/(1-Assumptions!$E13/100)+'Freight to Qingdao'!D17)/(1-Assumptions!$D13/100))</f>
        <v>61.084051084051083</v>
      </c>
      <c r="E14" s="33">
        <f>IF('Seaborne Supply'!E13=0,0,('FOB Cost'!E13/(1-Assumptions!$E13/100)+'Freight to Qingdao'!E17)/(1-Assumptions!$D13/100))</f>
        <v>62.031482031482021</v>
      </c>
      <c r="F14" s="33">
        <f>IF('Seaborne Supply'!F13=0,0,('FOB Cost'!F13/(1-Assumptions!$E13/100)+'Freight to Qingdao'!F17)/(1-Assumptions!$D13/100))</f>
        <v>66.694386694386679</v>
      </c>
      <c r="G14" s="33">
        <f>IF('Seaborne Supply'!G13=0,0,('FOB Cost'!G13/(1-Assumptions!$E13/100)+'Freight to Qingdao'!G17)/(1-Assumptions!$D13/100))</f>
        <v>63.549153549153544</v>
      </c>
      <c r="H14" s="33">
        <f>IF('Seaborne Supply'!H13=0,0,('FOB Cost'!H13/(1-Assumptions!$E13/100)+'Freight to Qingdao'!H17)/(1-Assumptions!$D13/100))</f>
        <v>46.96465696465696</v>
      </c>
      <c r="I14" s="33">
        <f>IF('Seaborne Supply'!I13=0,0,('FOB Cost'!I13/(1-Assumptions!$E13/100)+'Freight to Qingdao'!I17)/(1-Assumptions!$D13/100))</f>
        <v>35.239085239085234</v>
      </c>
      <c r="J14" s="33">
        <f>IF('Seaborne Supply'!J13=0,0,('FOB Cost'!J13/(1-Assumptions!$E13/100)+'Freight to Qingdao'!J17)/(1-Assumptions!$D13/100))</f>
        <v>38.954558954558948</v>
      </c>
      <c r="K14" s="33">
        <f>IF('Seaborne Supply'!K13=0,0,('FOB Cost'!K13/(1-Assumptions!$E13/100)+'Freight to Qingdao'!K17)/(1-Assumptions!$D13/100))</f>
        <v>42.803682803682797</v>
      </c>
      <c r="L14" s="33">
        <f>IF('Seaborne Supply'!L13=0,0,('FOB Cost'!L13/(1-Assumptions!$E13/100)+'Freight to Qingdao'!L17)/(1-Assumptions!$D13/100))</f>
        <v>42.319572319572316</v>
      </c>
      <c r="M14" s="33">
        <f>IF('Seaborne Supply'!M13=0,0,('FOB Cost'!M13/(1-Assumptions!$E13/100)+'Freight to Qingdao'!M17)/(1-Assumptions!$D13/100))</f>
        <v>40.032670032670033</v>
      </c>
      <c r="N14" s="33">
        <f>IF('Seaborne Supply'!N13=0,0,('FOB Cost'!N13/(1-Assumptions!$E13/100)+'Freight to Qingdao'!N17)/(1-Assumptions!$D13/100))</f>
        <v>48.342738342738336</v>
      </c>
      <c r="O14" s="33">
        <f>IF('Seaborne Supply'!O13=0,0,('FOB Cost'!O13/(1-Assumptions!$E13/100)+'Freight to Qingdao'!O17)/(1-Assumptions!$D13/100))</f>
        <v>48.301158301158296</v>
      </c>
      <c r="P14" s="33">
        <f>IF('Seaborne Supply'!P13=0,0,('FOB Cost'!P13/(1-Assumptions!$E13/100)+'Freight to Qingdao'!P17)/(1-Assumptions!$D13/100))</f>
        <v>46.388476388476377</v>
      </c>
      <c r="Q14" s="33">
        <f>IF('Seaborne Supply'!Q13=0,0,('FOB Cost'!Q13/(1-Assumptions!$E13/100)+'Freight to Qingdao'!Q17)/(1-Assumptions!$D13/100))</f>
        <v>46.144936144936139</v>
      </c>
      <c r="R14" s="33">
        <f>IF('Seaborne Supply'!R13=0,0,('FOB Cost'!R13/(1-Assumptions!$E13/100)+'Freight to Qingdao'!R17)/(1-Assumptions!$D13/100))</f>
        <v>44.452034452034447</v>
      </c>
      <c r="S14" s="33">
        <f>IF('Seaborne Supply'!S13=0,0,('FOB Cost'!S13/(1-Assumptions!$E13/100)+'Freight to Qingdao'!S17)/(1-Assumptions!$D13/100))</f>
        <v>48.901098901098898</v>
      </c>
      <c r="T14" s="33">
        <f>IF('Seaborne Supply'!T13=0,0,('FOB Cost'!T13/(1-Assumptions!$E13/100)+'Freight to Qingdao'!T17)/(1-Assumptions!$D13/100))</f>
        <v>47.745767745767736</v>
      </c>
      <c r="U14" s="33">
        <f>IF('Seaborne Supply'!U13=0,0,('FOB Cost'!U13/(1-Assumptions!$E13/100)+'Freight to Qingdao'!U17)/(1-Assumptions!$D13/100))</f>
        <v>47.799227799227793</v>
      </c>
      <c r="V14" s="33">
        <f>IF('Seaborne Supply'!V13=0,0,('FOB Cost'!V13/(1-Assumptions!$E13/100)+'Freight to Qingdao'!V17)/(1-Assumptions!$D13/100))</f>
        <v>48.072468072468077</v>
      </c>
      <c r="W14" s="33">
        <f>IF('Seaborne Supply'!W13=0,0,('FOB Cost'!W13/(1-Assumptions!$E13/100)+'Freight to Qingdao'!W17)/(1-Assumptions!$D13/100))</f>
        <v>49.005049005048996</v>
      </c>
      <c r="X14" s="33">
        <f>IF('Seaborne Supply'!X13=0,0,('FOB Cost'!X13/(1-Assumptions!$E13/100)+'Freight to Qingdao'!X17)/(1-Assumptions!$D13/100))</f>
        <v>50.056430056430059</v>
      </c>
      <c r="Y14" s="33">
        <f>IF('Seaborne Supply'!Y13=0,0,('FOB Cost'!Y13/(1-Assumptions!$E13/100)+'Freight to Qingdao'!Y17)/(1-Assumptions!$D13/100))</f>
        <v>50.989010989010978</v>
      </c>
      <c r="Z14" s="33">
        <f>IF('Seaborne Supply'!Z13=0,0,('FOB Cost'!Z13/(1-Assumptions!$E13/100)+'Freight to Qingdao'!Z17)/(1-Assumptions!$D13/100))</f>
        <v>52.040392040392042</v>
      </c>
      <c r="AA14" s="33">
        <f>IF('Seaborne Supply'!AA13=0,0,('FOB Cost'!AA13/(1-Assumptions!$E13/100)+'Freight to Qingdao'!AA17)/(1-Assumptions!$D13/100))</f>
        <v>53.091773091773092</v>
      </c>
      <c r="AB14" s="33">
        <f>IF('Seaborne Supply'!AB13=0,0,('FOB Cost'!AB13/(1-Assumptions!$E13/100)+'Freight to Qingdao'!AB17)/(1-Assumptions!$D13/100))</f>
        <v>54.143154143154135</v>
      </c>
    </row>
    <row r="15" spans="1:28" x14ac:dyDescent="0.2">
      <c r="A15" s="7" t="s">
        <v>86</v>
      </c>
      <c r="B15" s="7"/>
      <c r="C15" s="33">
        <f>IF('Seaborne Supply'!C14=0,0,('FOB Cost'!C14/(1-Assumptions!$E14/100)+'Freight to Qingdao'!C18)/(1-Assumptions!$D14/100))</f>
        <v>0</v>
      </c>
      <c r="D15" s="33">
        <f>IF('Seaborne Supply'!D14=0,0,('FOB Cost'!D14/(1-Assumptions!$E14/100)+'Freight to Qingdao'!D18)/(1-Assumptions!$D14/100))</f>
        <v>0</v>
      </c>
      <c r="E15" s="33">
        <f>IF('Seaborne Supply'!E14=0,0,('FOB Cost'!E14/(1-Assumptions!$E14/100)+'Freight to Qingdao'!E18)/(1-Assumptions!$D14/100))</f>
        <v>0</v>
      </c>
      <c r="F15" s="33">
        <f>IF('Seaborne Supply'!F14=0,0,('FOB Cost'!F14/(1-Assumptions!$E14/100)+'Freight to Qingdao'!F18)/(1-Assumptions!$D14/100))</f>
        <v>0</v>
      </c>
      <c r="G15" s="33">
        <f>IF('Seaborne Supply'!G14=0,0,('FOB Cost'!G14/(1-Assumptions!$E14/100)+'Freight to Qingdao'!G18)/(1-Assumptions!$D14/100))</f>
        <v>0</v>
      </c>
      <c r="H15" s="33">
        <f>IF('Seaborne Supply'!H14=0,0,('FOB Cost'!H14/(1-Assumptions!$E14/100)+'Freight to Qingdao'!H18)/(1-Assumptions!$D14/100))</f>
        <v>125.46338672768879</v>
      </c>
      <c r="I15" s="33">
        <f>IF('Seaborne Supply'!I14=0,0,('FOB Cost'!I14/(1-Assumptions!$E14/100)+'Freight to Qingdao'!I18)/(1-Assumptions!$D14/100))</f>
        <v>111.29862700228834</v>
      </c>
      <c r="J15" s="33">
        <f>IF('Seaborne Supply'!J14=0,0,('FOB Cost'!J14/(1-Assumptions!$E14/100)+'Freight to Qingdao'!J18)/(1-Assumptions!$D14/100))</f>
        <v>102.35697940503432</v>
      </c>
      <c r="K15" s="33">
        <f>IF('Seaborne Supply'!K14=0,0,('FOB Cost'!K14/(1-Assumptions!$E14/100)+'Freight to Qingdao'!K18)/(1-Assumptions!$D14/100))</f>
        <v>94.073226544622415</v>
      </c>
      <c r="L15" s="33">
        <f>IF('Seaborne Supply'!L14=0,0,('FOB Cost'!L14/(1-Assumptions!$E14/100)+'Freight to Qingdao'!L18)/(1-Assumptions!$D14/100))</f>
        <v>87.316933638443942</v>
      </c>
      <c r="M15" s="33">
        <f>IF('Seaborne Supply'!M14=0,0,('FOB Cost'!M14/(1-Assumptions!$E14/100)+'Freight to Qingdao'!M18)/(1-Assumptions!$D14/100))</f>
        <v>81.653318077803206</v>
      </c>
      <c r="N15" s="33">
        <f>IF('Seaborne Supply'!N14=0,0,('FOB Cost'!N14/(1-Assumptions!$E14/100)+'Freight to Qingdao'!N18)/(1-Assumptions!$D14/100))</f>
        <v>88.667048054919903</v>
      </c>
      <c r="O15" s="33">
        <f>IF('Seaborne Supply'!O14=0,0,('FOB Cost'!O14/(1-Assumptions!$E14/100)+'Freight to Qingdao'!O18)/(1-Assumptions!$D14/100))</f>
        <v>87.419908466819223</v>
      </c>
      <c r="P15" s="33">
        <f>IF('Seaborne Supply'!P14=0,0,('FOB Cost'!P14/(1-Assumptions!$E14/100)+'Freight to Qingdao'!P18)/(1-Assumptions!$D14/100))</f>
        <v>88.403890160183067</v>
      </c>
      <c r="Q15" s="33">
        <f>IF('Seaborne Supply'!Q14=0,0,('FOB Cost'!Q14/(1-Assumptions!$E14/100)+'Freight to Qingdao'!Q18)/(1-Assumptions!$D14/100))</f>
        <v>95.646453089244844</v>
      </c>
      <c r="R15" s="33">
        <f>IF('Seaborne Supply'!R14=0,0,('FOB Cost'!R14/(1-Assumptions!$E14/100)+'Freight to Qingdao'!R18)/(1-Assumptions!$D14/100))</f>
        <v>97.991990846681915</v>
      </c>
      <c r="S15" s="33">
        <f>IF('Seaborne Supply'!S14=0,0,('FOB Cost'!S14/(1-Assumptions!$E14/100)+'Freight to Qingdao'!S18)/(1-Assumptions!$D14/100))</f>
        <v>103.97597254004577</v>
      </c>
      <c r="T15" s="33">
        <f>IF('Seaborne Supply'!T14=0,0,('FOB Cost'!T14/(1-Assumptions!$E14/100)+'Freight to Qingdao'!T18)/(1-Assumptions!$D14/100))</f>
        <v>100.98398169336384</v>
      </c>
      <c r="U15" s="33">
        <f>IF('Seaborne Supply'!U14=0,0,('FOB Cost'!U14/(1-Assumptions!$E14/100)+'Freight to Qingdao'!U18)/(1-Assumptions!$D14/100))</f>
        <v>98.043478260869563</v>
      </c>
      <c r="V15" s="33">
        <f>IF('Seaborne Supply'!V14=0,0,('FOB Cost'!V14/(1-Assumptions!$E14/100)+'Freight to Qingdao'!V18)/(1-Assumptions!$D14/100))</f>
        <v>96.464530892448508</v>
      </c>
      <c r="W15" s="33">
        <f>IF('Seaborne Supply'!W14=0,0,('FOB Cost'!W14/(1-Assumptions!$E14/100)+'Freight to Qingdao'!W18)/(1-Assumptions!$D14/100))</f>
        <v>98.398169336384441</v>
      </c>
      <c r="X15" s="33">
        <f>IF('Seaborne Supply'!X14=0,0,('FOB Cost'!X14/(1-Assumptions!$E14/100)+'Freight to Qingdao'!X18)/(1-Assumptions!$D14/100))</f>
        <v>100.33180778032037</v>
      </c>
      <c r="Y15" s="33">
        <f>IF('Seaborne Supply'!Y14=0,0,('FOB Cost'!Y14/(1-Assumptions!$E14/100)+'Freight to Qingdao'!Y18)/(1-Assumptions!$D14/100))</f>
        <v>102.37986270022883</v>
      </c>
      <c r="Z15" s="33">
        <f>IF('Seaborne Supply'!Z14=0,0,('FOB Cost'!Z14/(1-Assumptions!$E14/100)+'Freight to Qingdao'!Z18)/(1-Assumptions!$D14/100))</f>
        <v>104.42791762013731</v>
      </c>
      <c r="AA15" s="33">
        <f>IF('Seaborne Supply'!AA14=0,0,('FOB Cost'!AA14/(1-Assumptions!$E14/100)+'Freight to Qingdao'!AA18)/(1-Assumptions!$D14/100))</f>
        <v>106.47597254004576</v>
      </c>
      <c r="AB15" s="33">
        <f>IF('Seaborne Supply'!AB14=0,0,('FOB Cost'!AB14/(1-Assumptions!$E14/100)+'Freight to Qingdao'!AB18)/(1-Assumptions!$D14/100))</f>
        <v>108.63844393592677</v>
      </c>
    </row>
    <row r="16" spans="1:28" x14ac:dyDescent="0.2">
      <c r="A16" s="7" t="s">
        <v>88</v>
      </c>
      <c r="B16" s="7"/>
      <c r="C16" s="33">
        <f>IF('Seaborne Supply'!C15=0,0,('FOB Cost'!C15/(1-Assumptions!$E15/100)+'Freight to Qingdao'!C19)/(1-Assumptions!$D15/100))</f>
        <v>45.326734348561757</v>
      </c>
      <c r="D16" s="33">
        <f>IF('Seaborne Supply'!D15=0,0,('FOB Cost'!D15/(1-Assumptions!$E15/100)+'Freight to Qingdao'!D19)/(1-Assumptions!$D15/100))</f>
        <v>47.343485617597302</v>
      </c>
      <c r="E16" s="33">
        <f>IF('Seaborne Supply'!E15=0,0,('FOB Cost'!E15/(1-Assumptions!$E15/100)+'Freight to Qingdao'!E19)/(1-Assumptions!$D15/100))</f>
        <v>48.969712351945859</v>
      </c>
      <c r="F16" s="33">
        <f>IF('Seaborne Supply'!F15=0,0,('FOB Cost'!F15/(1-Assumptions!$E15/100)+'Freight to Qingdao'!F19)/(1-Assumptions!$D15/100))</f>
        <v>53.179864636209821</v>
      </c>
      <c r="G16" s="33">
        <f>IF('Seaborne Supply'!G15=0,0,('FOB Cost'!G15/(1-Assumptions!$E15/100)+'Freight to Qingdao'!G19)/(1-Assumptions!$D15/100))</f>
        <v>50.694247038917098</v>
      </c>
      <c r="H16" s="33">
        <f>IF('Seaborne Supply'!H15=0,0,('FOB Cost'!H15/(1-Assumptions!$E15/100)+'Freight to Qingdao'!H19)/(1-Assumptions!$D15/100))</f>
        <v>40.555160744500853</v>
      </c>
      <c r="I16" s="33">
        <f>IF('Seaborne Supply'!I15=0,0,('FOB Cost'!I15/(1-Assumptions!$E15/100)+'Freight to Qingdao'!I19)/(1-Assumptions!$D15/100))</f>
        <v>34.980203045685279</v>
      </c>
      <c r="J16" s="33">
        <f>IF('Seaborne Supply'!J15=0,0,('FOB Cost'!J15/(1-Assumptions!$E15/100)+'Freight to Qingdao'!J19)/(1-Assumptions!$D15/100))</f>
        <v>44.894416243654824</v>
      </c>
      <c r="K16" s="33">
        <f>IF('Seaborne Supply'!K15=0,0,('FOB Cost'!K15/(1-Assumptions!$E15/100)+'Freight to Qingdao'!K19)/(1-Assumptions!$D15/100))</f>
        <v>47.265989847715737</v>
      </c>
      <c r="L16" s="33">
        <f>IF('Seaborne Supply'!L15=0,0,('FOB Cost'!L15/(1-Assumptions!$E15/100)+'Freight to Qingdao'!L19)/(1-Assumptions!$D15/100))</f>
        <v>48.577495769881565</v>
      </c>
      <c r="M16" s="33">
        <f>IF('Seaborne Supply'!M15=0,0,('FOB Cost'!M15/(1-Assumptions!$E15/100)+'Freight to Qingdao'!M19)/(1-Assumptions!$D15/100))</f>
        <v>43.963451776649748</v>
      </c>
      <c r="N16" s="33">
        <f>IF('Seaborne Supply'!N15=0,0,('FOB Cost'!N15/(1-Assumptions!$E15/100)+'Freight to Qingdao'!N19)/(1-Assumptions!$D15/100))</f>
        <v>61.031472081218276</v>
      </c>
      <c r="O16" s="33">
        <f>IF('Seaborne Supply'!O15=0,0,('FOB Cost'!O15/(1-Assumptions!$E15/100)+'Freight to Qingdao'!O19)/(1-Assumptions!$D15/100))</f>
        <v>60.087986463620986</v>
      </c>
      <c r="P16" s="33">
        <f>IF('Seaborne Supply'!P15=0,0,('FOB Cost'!P15/(1-Assumptions!$E15/100)+'Freight to Qingdao'!P19)/(1-Assumptions!$D15/100))</f>
        <v>58.922165820642981</v>
      </c>
      <c r="Q16" s="33">
        <f>IF('Seaborne Supply'!Q15=0,0,('FOB Cost'!Q15/(1-Assumptions!$E15/100)+'Freight to Qingdao'!Q19)/(1-Assumptions!$D15/100))</f>
        <v>59.771573604060912</v>
      </c>
      <c r="R16" s="33">
        <f>IF('Seaborne Supply'!R15=0,0,('FOB Cost'!R15/(1-Assumptions!$E15/100)+'Freight to Qingdao'!R19)/(1-Assumptions!$D15/100))</f>
        <v>58.531641285956006</v>
      </c>
      <c r="S16" s="33">
        <f>IF('Seaborne Supply'!S15=0,0,('FOB Cost'!S15/(1-Assumptions!$E15/100)+'Freight to Qingdao'!S19)/(1-Assumptions!$D15/100))</f>
        <v>70.563451776649742</v>
      </c>
      <c r="T16" s="33">
        <f>IF('Seaborne Supply'!T15=0,0,('FOB Cost'!T15/(1-Assumptions!$E15/100)+'Freight to Qingdao'!T19)/(1-Assumptions!$D15/100))</f>
        <v>63.314720812182735</v>
      </c>
      <c r="U16" s="33">
        <f>IF('Seaborne Supply'!U15=0,0,('FOB Cost'!U15/(1-Assumptions!$E15/100)+'Freight to Qingdao'!U19)/(1-Assumptions!$D15/100))</f>
        <v>60.552622673434861</v>
      </c>
      <c r="V16" s="33">
        <f>IF('Seaborne Supply'!V15=0,0,('FOB Cost'!V15/(1-Assumptions!$E15/100)+'Freight to Qingdao'!V19)/(1-Assumptions!$D15/100))</f>
        <v>58.986294416243659</v>
      </c>
      <c r="W16" s="33">
        <f>IF('Seaborne Supply'!W15=0,0,('FOB Cost'!W15/(1-Assumptions!$E15/100)+'Freight to Qingdao'!W19)/(1-Assumptions!$D15/100))</f>
        <v>59.282741116751275</v>
      </c>
      <c r="X16" s="33">
        <f>IF('Seaborne Supply'!X15=0,0,('FOB Cost'!X15/(1-Assumptions!$E15/100)+'Freight to Qingdao'!X19)/(1-Assumptions!$D15/100))</f>
        <v>60.499323181049064</v>
      </c>
      <c r="Y16" s="33">
        <f>IF('Seaborne Supply'!Y15=0,0,('FOB Cost'!Y15/(1-Assumptions!$E15/100)+'Freight to Qingdao'!Y19)/(1-Assumptions!$D15/100))</f>
        <v>61.641793570219974</v>
      </c>
      <c r="Z16" s="33">
        <f>IF('Seaborne Supply'!Z15=0,0,('FOB Cost'!Z15/(1-Assumptions!$E15/100)+'Freight to Qingdao'!Z19)/(1-Assumptions!$D15/100))</f>
        <v>62.964128595600684</v>
      </c>
      <c r="AA16" s="33">
        <f>IF('Seaborne Supply'!AA15=0,0,('FOB Cost'!AA15/(1-Assumptions!$E15/100)+'Freight to Qingdao'!AA19)/(1-Assumptions!$D15/100))</f>
        <v>64.18071065989848</v>
      </c>
      <c r="AB16" s="33">
        <f>IF('Seaborne Supply'!AB15=0,0,('FOB Cost'!AB15/(1-Assumptions!$E15/100)+'Freight to Qingdao'!AB19)/(1-Assumptions!$D15/100))</f>
        <v>65.503045685279204</v>
      </c>
    </row>
    <row r="17" spans="1:28" x14ac:dyDescent="0.2">
      <c r="A17" s="7" t="s">
        <v>93</v>
      </c>
      <c r="B17" s="7"/>
      <c r="C17" s="33">
        <f>IF('Seaborne Supply'!C16=0,0,('FOB Cost'!C16/(1-Assumptions!$E16/100)+'Freight to Qingdao'!C20)/(1-Assumptions!$D16/100))</f>
        <v>97.160416666666677</v>
      </c>
      <c r="D17" s="33">
        <f>IF('Seaborne Supply'!D16=0,0,('FOB Cost'!D16/(1-Assumptions!$E16/100)+'Freight to Qingdao'!D20)/(1-Assumptions!$D16/100))</f>
        <v>106.84895833333334</v>
      </c>
      <c r="E17" s="33">
        <f>IF('Seaborne Supply'!E16=0,0,('FOB Cost'!E16/(1-Assumptions!$E16/100)+'Freight to Qingdao'!E20)/(1-Assumptions!$D16/100))</f>
        <v>114.60312500000001</v>
      </c>
      <c r="F17" s="33">
        <f>IF('Seaborne Supply'!F16=0,0,('FOB Cost'!F16/(1-Assumptions!$E16/100)+'Freight to Qingdao'!F20)/(1-Assumptions!$D16/100))</f>
        <v>124.26770833333333</v>
      </c>
      <c r="G17" s="33">
        <f>IF('Seaborne Supply'!G16=0,0,('FOB Cost'!G16/(1-Assumptions!$E16/100)+'Freight to Qingdao'!G20)/(1-Assumptions!$D16/100))</f>
        <v>113.18958333333335</v>
      </c>
      <c r="H17" s="33">
        <f>IF('Seaborne Supply'!H16=0,0,('FOB Cost'!H16/(1-Assumptions!$E16/100)+'Freight to Qingdao'!H20)/(1-Assumptions!$D16/100))</f>
        <v>0</v>
      </c>
      <c r="I17" s="33">
        <f>IF('Seaborne Supply'!I16=0,0,('FOB Cost'!I16/(1-Assumptions!$E16/100)+'Freight to Qingdao'!I20)/(1-Assumptions!$D16/100))</f>
        <v>0</v>
      </c>
      <c r="J17" s="33">
        <f>IF('Seaborne Supply'!J16=0,0,('FOB Cost'!J16/(1-Assumptions!$E16/100)+'Freight to Qingdao'!J20)/(1-Assumptions!$D16/100))</f>
        <v>0</v>
      </c>
      <c r="K17" s="33">
        <f>IF('Seaborne Supply'!K16=0,0,('FOB Cost'!K16/(1-Assumptions!$E16/100)+'Freight to Qingdao'!K20)/(1-Assumptions!$D16/100))</f>
        <v>63.404166666666661</v>
      </c>
      <c r="L17" s="33">
        <f>IF('Seaborne Supply'!L16=0,0,('FOB Cost'!L16/(1-Assumptions!$E16/100)+'Freight to Qingdao'!L20)/(1-Assumptions!$D16/100))</f>
        <v>63.877083333333339</v>
      </c>
      <c r="M17" s="33">
        <f>IF('Seaborne Supply'!M16=0,0,('FOB Cost'!M16/(1-Assumptions!$E16/100)+'Freight to Qingdao'!M20)/(1-Assumptions!$D16/100))</f>
        <v>60.829166666666673</v>
      </c>
      <c r="N17" s="33">
        <f>IF('Seaborne Supply'!N16=0,0,('FOB Cost'!N16/(1-Assumptions!$E16/100)+'Freight to Qingdao'!N20)/(1-Assumptions!$D16/100))</f>
        <v>78.030208333333334</v>
      </c>
      <c r="O17" s="33">
        <f>IF('Seaborne Supply'!O16=0,0,('FOB Cost'!O16/(1-Assumptions!$E16/100)+'Freight to Qingdao'!O20)/(1-Assumptions!$D16/100))</f>
        <v>80.708333333333343</v>
      </c>
      <c r="P17" s="33">
        <f>IF('Seaborne Supply'!P16=0,0,('FOB Cost'!P16/(1-Assumptions!$E16/100)+'Freight to Qingdao'!P20)/(1-Assumptions!$D16/100))</f>
        <v>86.010416666666657</v>
      </c>
      <c r="Q17" s="33">
        <f>IF('Seaborne Supply'!Q16=0,0,('FOB Cost'!Q16/(1-Assumptions!$E16/100)+'Freight to Qingdao'!Q20)/(1-Assumptions!$D16/100))</f>
        <v>91.614583333333343</v>
      </c>
      <c r="R17" s="33">
        <f>IF('Seaborne Supply'!R16=0,0,('FOB Cost'!R16/(1-Assumptions!$E16/100)+'Freight to Qingdao'!R20)/(1-Assumptions!$D16/100))</f>
        <v>86.784375000000011</v>
      </c>
      <c r="S17" s="33">
        <f>IF('Seaborne Supply'!S16=0,0,('FOB Cost'!S16/(1-Assumptions!$E16/100)+'Freight to Qingdao'!S20)/(1-Assumptions!$D16/100))</f>
        <v>99.96875</v>
      </c>
      <c r="T17" s="33">
        <f>IF('Seaborne Supply'!T16=0,0,('FOB Cost'!T16/(1-Assumptions!$E16/100)+'Freight to Qingdao'!T20)/(1-Assumptions!$D16/100))</f>
        <v>95.192708333333329</v>
      </c>
      <c r="U17" s="33">
        <f>IF('Seaborne Supply'!U16=0,0,('FOB Cost'!U16/(1-Assumptions!$E16/100)+'Freight to Qingdao'!U20)/(1-Assumptions!$D16/100))</f>
        <v>91.108333333333334</v>
      </c>
      <c r="V17" s="33">
        <f>IF('Seaborne Supply'!V16=0,0,('FOB Cost'!V16/(1-Assumptions!$E16/100)+'Freight to Qingdao'!V20)/(1-Assumptions!$D16/100))</f>
        <v>88.214583333333337</v>
      </c>
      <c r="W17" s="33">
        <f>IF('Seaborne Supply'!W16=0,0,('FOB Cost'!W16/(1-Assumptions!$E16/100)+'Freight to Qingdao'!W20)/(1-Assumptions!$D16/100))</f>
        <v>89.889583333333334</v>
      </c>
      <c r="X17" s="33">
        <f>IF('Seaborne Supply'!X16=0,0,('FOB Cost'!X16/(1-Assumptions!$E16/100)+'Freight to Qingdao'!X20)/(1-Assumptions!$D16/100))</f>
        <v>91.801041666666663</v>
      </c>
      <c r="Y17" s="33">
        <f>IF('Seaborne Supply'!Y16=0,0,('FOB Cost'!Y16/(1-Assumptions!$E16/100)+'Freight to Qingdao'!Y20)/(1-Assumptions!$D16/100))</f>
        <v>93.580208333333346</v>
      </c>
      <c r="Z17" s="33">
        <f>IF('Seaborne Supply'!Z16=0,0,('FOB Cost'!Z16/(1-Assumptions!$E16/100)+'Freight to Qingdao'!Z20)/(1-Assumptions!$D16/100))</f>
        <v>95.49166666666666</v>
      </c>
      <c r="AA17" s="33">
        <f>IF('Seaborne Supply'!AA16=0,0,('FOB Cost'!AA16/(1-Assumptions!$E16/100)+'Freight to Qingdao'!AA20)/(1-Assumptions!$D16/100))</f>
        <v>97.403125000000003</v>
      </c>
      <c r="AB17" s="33">
        <f>IF('Seaborne Supply'!AB16=0,0,('FOB Cost'!AB16/(1-Assumptions!$E16/100)+'Freight to Qingdao'!AB20)/(1-Assumptions!$D16/100))</f>
        <v>99.418750000000017</v>
      </c>
    </row>
    <row r="18" spans="1:28" x14ac:dyDescent="0.2">
      <c r="A18" s="7" t="s">
        <v>97</v>
      </c>
      <c r="B18" s="7"/>
      <c r="C18" s="33">
        <f>IF('Seaborne Supply'!C17=0,0,('FOB Cost'!C17/(1-Assumptions!$E17/100)+'Freight to Qingdao'!C21)/(1-Assumptions!$D17/100))</f>
        <v>93.202567478604351</v>
      </c>
      <c r="D18" s="33">
        <f>IF('Seaborne Supply'!D17=0,0,('FOB Cost'!D17/(1-Assumptions!$E17/100)+'Freight to Qingdao'!D21)/(1-Assumptions!$D17/100))</f>
        <v>92.796521834540272</v>
      </c>
      <c r="E18" s="33">
        <f>IF('Seaborne Supply'!E17=0,0,('FOB Cost'!E17/(1-Assumptions!$E17/100)+'Freight to Qingdao'!E21)/(1-Assumptions!$D17/100))</f>
        <v>93.556802721088431</v>
      </c>
      <c r="F18" s="33">
        <f>IF('Seaborne Supply'!F17=0,0,('FOB Cost'!F17/(1-Assumptions!$E17/100)+'Freight to Qingdao'!F21)/(1-Assumptions!$D17/100))</f>
        <v>97.565514592933951</v>
      </c>
      <c r="G18" s="33">
        <f>IF('Seaborne Supply'!G17=0,0,('FOB Cost'!G17/(1-Assumptions!$E17/100)+'Freight to Qingdao'!G21)/(1-Assumptions!$D17/100))</f>
        <v>94.723129251700698</v>
      </c>
      <c r="H18" s="33">
        <f>IF('Seaborne Supply'!H17=0,0,('FOB Cost'!H17/(1-Assumptions!$E17/100)+'Freight to Qingdao'!H21)/(1-Assumptions!$D17/100))</f>
        <v>66.193021724818962</v>
      </c>
      <c r="I18" s="33">
        <f>IF('Seaborne Supply'!I17=0,0,('FOB Cost'!I17/(1-Assumptions!$E17/100)+'Freight to Qingdao'!I21)/(1-Assumptions!$D17/100))</f>
        <v>59.631347377660752</v>
      </c>
      <c r="J18" s="33">
        <f>IF('Seaborne Supply'!J17=0,0,('FOB Cost'!J17/(1-Assumptions!$E17/100)+'Freight to Qingdao'!J21)/(1-Assumptions!$D17/100))</f>
        <v>68.085055957867027</v>
      </c>
      <c r="K18" s="33">
        <f>IF('Seaborne Supply'!K17=0,0,('FOB Cost'!K17/(1-Assumptions!$E17/100)+'Freight to Qingdao'!K21)/(1-Assumptions!$D17/100))</f>
        <v>81.668027210884361</v>
      </c>
      <c r="L18" s="33">
        <f>IF('Seaborne Supply'!L17=0,0,('FOB Cost'!L17/(1-Assumptions!$E17/100)+'Freight to Qingdao'!L21)/(1-Assumptions!$D17/100))</f>
        <v>81.48832565284178</v>
      </c>
      <c r="M18" s="33">
        <f>IF('Seaborne Supply'!M17=0,0,('FOB Cost'!M17/(1-Assumptions!$E17/100)+'Freight to Qingdao'!M21)/(1-Assumptions!$D17/100))</f>
        <v>76.234671933289462</v>
      </c>
      <c r="N18" s="33">
        <f>IF('Seaborne Supply'!N17=0,0,('FOB Cost'!N17/(1-Assumptions!$E17/100)+'Freight to Qingdao'!N21)/(1-Assumptions!$D17/100))</f>
        <v>106.24903445249068</v>
      </c>
      <c r="O18" s="33">
        <f>IF('Seaborne Supply'!O17=0,0,('FOB Cost'!O17/(1-Assumptions!$E17/100)+'Freight to Qingdao'!O21)/(1-Assumptions!$D17/100))</f>
        <v>107.13890717577354</v>
      </c>
      <c r="P18" s="33">
        <f>IF('Seaborne Supply'!P17=0,0,('FOB Cost'!P17/(1-Assumptions!$E17/100)+'Freight to Qingdao'!P21)/(1-Assumptions!$D17/100))</f>
        <v>108.18861092824227</v>
      </c>
      <c r="Q18" s="33">
        <f>IF('Seaborne Supply'!Q17=0,0,('FOB Cost'!Q17/(1-Assumptions!$E17/100)+'Freight to Qingdao'!Q21)/(1-Assumptions!$D17/100))</f>
        <v>120.1750054860654</v>
      </c>
      <c r="R18" s="33">
        <f>IF('Seaborne Supply'!R17=0,0,('FOB Cost'!R17/(1-Assumptions!$E17/100)+'Freight to Qingdao'!R21)/(1-Assumptions!$D17/100))</f>
        <v>120.87567478604346</v>
      </c>
      <c r="S18" s="33">
        <f>IF('Seaborne Supply'!S17=0,0,('FOB Cost'!S17/(1-Assumptions!$E17/100)+'Freight to Qingdao'!S21)/(1-Assumptions!$D17/100))</f>
        <v>136.72822032038621</v>
      </c>
      <c r="T18" s="33">
        <f>IF('Seaborne Supply'!T17=0,0,('FOB Cost'!T17/(1-Assumptions!$E17/100)+'Freight to Qingdao'!T21)/(1-Assumptions!$D17/100))</f>
        <v>127.40624314241828</v>
      </c>
      <c r="U18" s="33">
        <f>IF('Seaborne Supply'!U17=0,0,('FOB Cost'!U17/(1-Assumptions!$E17/100)+'Freight to Qingdao'!U21)/(1-Assumptions!$D17/100))</f>
        <v>121.1339916611806</v>
      </c>
      <c r="V18" s="33">
        <f>IF('Seaborne Supply'!V17=0,0,('FOB Cost'!V17/(1-Assumptions!$E17/100)+'Freight to Qingdao'!V21)/(1-Assumptions!$D17/100))</f>
        <v>116.02806671055521</v>
      </c>
      <c r="W18" s="33">
        <f>IF('Seaborne Supply'!W17=0,0,('FOB Cost'!W17/(1-Assumptions!$E17/100)+'Freight to Qingdao'!W21)/(1-Assumptions!$D17/100))</f>
        <v>114.35200789993418</v>
      </c>
      <c r="X18" s="33">
        <f>IF('Seaborne Supply'!X17=0,0,('FOB Cost'!X17/(1-Assumptions!$E17/100)+'Freight to Qingdao'!X21)/(1-Assumptions!$D17/100))</f>
        <v>116.75550800965549</v>
      </c>
      <c r="Y18" s="33">
        <f>IF('Seaborne Supply'!Y17=0,0,('FOB Cost'!Y17/(1-Assumptions!$E17/100)+'Freight to Qingdao'!Y21)/(1-Assumptions!$D17/100))</f>
        <v>119.0294162826421</v>
      </c>
      <c r="Z18" s="33">
        <f>IF('Seaborne Supply'!Z17=0,0,('FOB Cost'!Z17/(1-Assumptions!$E17/100)+'Freight to Qingdao'!Z21)/(1-Assumptions!$D17/100))</f>
        <v>121.43291639236341</v>
      </c>
      <c r="AA18" s="33">
        <f>IF('Seaborne Supply'!AA17=0,0,('FOB Cost'!AA17/(1-Assumptions!$E17/100)+'Freight to Qingdao'!AA21)/(1-Assumptions!$D17/100))</f>
        <v>123.83641650208472</v>
      </c>
      <c r="AB18" s="33">
        <f>IF('Seaborne Supply'!AB17=0,0,('FOB Cost'!AB17/(1-Assumptions!$E17/100)+'Freight to Qingdao'!AB21)/(1-Assumptions!$D17/100))</f>
        <v>126.34963791968401</v>
      </c>
    </row>
    <row r="19" spans="1:28" x14ac:dyDescent="0.2">
      <c r="A19" s="7" t="s">
        <v>99</v>
      </c>
      <c r="B19" s="7"/>
      <c r="C19" s="33">
        <f>IF('Seaborne Supply'!C18=0,0,('FOB Cost'!C18/(1-Assumptions!$E18/100)+'Freight to Qingdao'!C22)/(1-Assumptions!$D18/100))</f>
        <v>58.539004958493514</v>
      </c>
      <c r="D19" s="33">
        <f>IF('Seaborne Supply'!D18=0,0,('FOB Cost'!D18/(1-Assumptions!$E18/100)+'Freight to Qingdao'!D22)/(1-Assumptions!$D18/100))</f>
        <v>57.863530001671414</v>
      </c>
      <c r="E19" s="33">
        <f>IF('Seaborne Supply'!E18=0,0,('FOB Cost'!E18/(1-Assumptions!$E18/100)+'Freight to Qingdao'!E22)/(1-Assumptions!$D18/100))</f>
        <v>55.936937990974428</v>
      </c>
      <c r="F19" s="33">
        <f>IF('Seaborne Supply'!F18=0,0,('FOB Cost'!F18/(1-Assumptions!$E18/100)+'Freight to Qingdao'!F22)/(1-Assumptions!$D18/100))</f>
        <v>56.34309989414453</v>
      </c>
      <c r="G19" s="33">
        <f>IF('Seaborne Supply'!G18=0,0,('FOB Cost'!G18/(1-Assumptions!$E18/100)+'Freight to Qingdao'!G22)/(1-Assumptions!$D18/100))</f>
        <v>55.800089141456354</v>
      </c>
      <c r="H19" s="33">
        <f>IF('Seaborne Supply'!H18=0,0,('FOB Cost'!H18/(1-Assumptions!$E18/100)+'Freight to Qingdao'!H22)/(1-Assumptions!$D18/100))</f>
        <v>36.67734135606441</v>
      </c>
      <c r="I19" s="33">
        <f>IF('Seaborne Supply'!I18=0,0,('FOB Cost'!I18/(1-Assumptions!$E18/100)+'Freight to Qingdao'!I22)/(1-Assumptions!$D18/100))</f>
        <v>32.168159786060507</v>
      </c>
      <c r="J19" s="33">
        <f>IF('Seaborne Supply'!J18=0,0,('FOB Cost'!J18/(1-Assumptions!$E18/100)+'Freight to Qingdao'!J22)/(1-Assumptions!$D18/100))</f>
        <v>40.464293275391384</v>
      </c>
      <c r="K19" s="33">
        <f>IF('Seaborne Supply'!K18=0,0,('FOB Cost'!K18/(1-Assumptions!$E18/100)+'Freight to Qingdao'!K22)/(1-Assumptions!$D18/100))</f>
        <v>42.268159786060508</v>
      </c>
      <c r="L19" s="33">
        <f>IF('Seaborne Supply'!L18=0,0,('FOB Cost'!L18/(1-Assumptions!$E18/100)+'Freight to Qingdao'!L22)/(1-Assumptions!$D18/100))</f>
        <v>41.928229984957383</v>
      </c>
      <c r="M19" s="33">
        <f>IF('Seaborne Supply'!M18=0,0,('FOB Cost'!M18/(1-Assumptions!$E18/100)+'Freight to Qingdao'!M22)/(1-Assumptions!$D18/100))</f>
        <v>35.015677753635302</v>
      </c>
      <c r="N19" s="33">
        <f>IF('Seaborne Supply'!N18=0,0,('FOB Cost'!N18/(1-Assumptions!$E18/100)+'Freight to Qingdao'!N22)/(1-Assumptions!$D18/100))</f>
        <v>50.947857819377127</v>
      </c>
      <c r="O19" s="33">
        <f>IF('Seaborne Supply'!O18=0,0,('FOB Cost'!O18/(1-Assumptions!$E18/100)+'Freight to Qingdao'!O22)/(1-Assumptions!$D18/100))</f>
        <v>50.689843445317294</v>
      </c>
      <c r="P19" s="33">
        <f>IF('Seaborne Supply'!P18=0,0,('FOB Cost'!P18/(1-Assumptions!$E18/100)+'Freight to Qingdao'!P22)/(1-Assumptions!$D18/100))</f>
        <v>47.097498467881223</v>
      </c>
      <c r="Q19" s="33">
        <f>IF('Seaborne Supply'!Q18=0,0,('FOB Cost'!Q18/(1-Assumptions!$E18/100)+'Freight to Qingdao'!Q22)/(1-Assumptions!$D18/100))</f>
        <v>49.881609003287096</v>
      </c>
      <c r="R19" s="33">
        <f>IF('Seaborne Supply'!R18=0,0,('FOB Cost'!R18/(1-Assumptions!$E18/100)+'Freight to Qingdao'!R22)/(1-Assumptions!$D18/100))</f>
        <v>47.740637361412894</v>
      </c>
      <c r="S19" s="33">
        <f>IF('Seaborne Supply'!S18=0,0,('FOB Cost'!S18/(1-Assumptions!$E18/100)+'Freight to Qingdao'!S22)/(1-Assumptions!$D18/100))</f>
        <v>59.071981726001454</v>
      </c>
      <c r="T19" s="33">
        <f>IF('Seaborne Supply'!T18=0,0,('FOB Cost'!T18/(1-Assumptions!$E18/100)+'Freight to Qingdao'!T22)/(1-Assumptions!$D18/100))</f>
        <v>52.207448882946125</v>
      </c>
      <c r="U19" s="33">
        <f>IF('Seaborne Supply'!U18=0,0,('FOB Cost'!U18/(1-Assumptions!$E18/100)+'Freight to Qingdao'!U22)/(1-Assumptions!$D18/100))</f>
        <v>48.595331216223741</v>
      </c>
      <c r="V19" s="33">
        <f>IF('Seaborne Supply'!V18=0,0,('FOB Cost'!V18/(1-Assumptions!$E18/100)+'Freight to Qingdao'!V22)/(1-Assumptions!$D18/100))</f>
        <v>47.520608390439584</v>
      </c>
      <c r="W19" s="33">
        <f>IF('Seaborne Supply'!W18=0,0,('FOB Cost'!W18/(1-Assumptions!$E18/100)+'Freight to Qingdao'!W22)/(1-Assumptions!$D18/100))</f>
        <v>48.400724274332845</v>
      </c>
      <c r="X19" s="33">
        <f>IF('Seaborne Supply'!X18=0,0,('FOB Cost'!X18/(1-Assumptions!$E18/100)+'Freight to Qingdao'!X22)/(1-Assumptions!$D18/100))</f>
        <v>49.500869129199408</v>
      </c>
      <c r="Y19" s="33">
        <f>IF('Seaborne Supply'!Y18=0,0,('FOB Cost'!Y18/(1-Assumptions!$E18/100)+'Freight to Qingdao'!Y22)/(1-Assumptions!$D18/100))</f>
        <v>50.380985013092655</v>
      </c>
      <c r="Z19" s="33">
        <f>IF('Seaborne Supply'!Z18=0,0,('FOB Cost'!Z18/(1-Assumptions!$E18/100)+'Freight to Qingdao'!Z22)/(1-Assumptions!$D18/100))</f>
        <v>51.481129867959218</v>
      </c>
      <c r="AA19" s="33">
        <f>IF('Seaborne Supply'!AA18=0,0,('FOB Cost'!AA18/(1-Assumptions!$E18/100)+'Freight to Qingdao'!AA22)/(1-Assumptions!$D18/100))</f>
        <v>52.581274722825782</v>
      </c>
      <c r="AB19" s="33">
        <f>IF('Seaborne Supply'!AB18=0,0,('FOB Cost'!AB18/(1-Assumptions!$E18/100)+'Freight to Qingdao'!AB22)/(1-Assumptions!$D18/100))</f>
        <v>53.569992757256685</v>
      </c>
    </row>
    <row r="20" spans="1:28" x14ac:dyDescent="0.2">
      <c r="A20" s="7" t="s">
        <v>103</v>
      </c>
      <c r="B20" s="7"/>
      <c r="C20" s="33">
        <f>IF('Seaborne Supply'!C19=0,0,('FOB Cost'!C19/(1-Assumptions!$E19/100)+'Freight to Qingdao'!C23)/(1-Assumptions!$D19/100))</f>
        <v>0</v>
      </c>
      <c r="D20" s="33">
        <f>IF('Seaborne Supply'!D19=0,0,('FOB Cost'!D19/(1-Assumptions!$E19/100)+'Freight to Qingdao'!D23)/(1-Assumptions!$D19/100))</f>
        <v>0</v>
      </c>
      <c r="E20" s="33">
        <f>IF('Seaborne Supply'!E19=0,0,('FOB Cost'!E19/(1-Assumptions!$E19/100)+'Freight to Qingdao'!E23)/(1-Assumptions!$D19/100))</f>
        <v>0</v>
      </c>
      <c r="F20" s="33">
        <f>IF('Seaborne Supply'!F19=0,0,('FOB Cost'!F19/(1-Assumptions!$E19/100)+'Freight to Qingdao'!F23)/(1-Assumptions!$D19/100))</f>
        <v>0</v>
      </c>
      <c r="G20" s="33">
        <f>IF('Seaborne Supply'!G19=0,0,('FOB Cost'!G19/(1-Assumptions!$E19/100)+'Freight to Qingdao'!G23)/(1-Assumptions!$D19/100))</f>
        <v>96.430234014689972</v>
      </c>
      <c r="H20" s="33">
        <f>IF('Seaborne Supply'!H19=0,0,('FOB Cost'!H19/(1-Assumptions!$E19/100)+'Freight to Qingdao'!H23)/(1-Assumptions!$D19/100))</f>
        <v>80.510072311108573</v>
      </c>
      <c r="I20" s="33">
        <f>IF('Seaborne Supply'!I19=0,0,('FOB Cost'!I19/(1-Assumptions!$E19/100)+'Freight to Qingdao'!I23)/(1-Assumptions!$D19/100))</f>
        <v>41.785213232363496</v>
      </c>
      <c r="J20" s="33">
        <f>IF('Seaborne Supply'!J19=0,0,('FOB Cost'!J19/(1-Assumptions!$E19/100)+'Freight to Qingdao'!J23)/(1-Assumptions!$D19/100))</f>
        <v>50.698992199510329</v>
      </c>
      <c r="K20" s="33">
        <f>IF('Seaborne Supply'!K19=0,0,('FOB Cost'!K19/(1-Assumptions!$E19/100)+'Freight to Qingdao'!K23)/(1-Assumptions!$D19/100))</f>
        <v>54.180310880829012</v>
      </c>
      <c r="L20" s="33">
        <f>IF('Seaborne Supply'!L19=0,0,('FOB Cost'!L19/(1-Assumptions!$E19/100)+'Freight to Qingdao'!L23)/(1-Assumptions!$D19/100))</f>
        <v>44.149074759437454</v>
      </c>
      <c r="M20" s="33">
        <f>IF('Seaborne Supply'!M19=0,0,('FOB Cost'!M19/(1-Assumptions!$E19/100)+'Freight to Qingdao'!M23)/(1-Assumptions!$D19/100))</f>
        <v>40.015008825371517</v>
      </c>
      <c r="N20" s="33">
        <f>IF('Seaborne Supply'!N19=0,0,('FOB Cost'!N19/(1-Assumptions!$E19/100)+'Freight to Qingdao'!N23)/(1-Assumptions!$D19/100))</f>
        <v>56.377435517850017</v>
      </c>
      <c r="O20" s="33">
        <f>IF('Seaborne Supply'!O19=0,0,('FOB Cost'!O19/(1-Assumptions!$E19/100)+'Freight to Qingdao'!O23)/(1-Assumptions!$D19/100))</f>
        <v>65.966406650344467</v>
      </c>
      <c r="P20" s="33">
        <f>IF('Seaborne Supply'!P19=0,0,('FOB Cost'!P19/(1-Assumptions!$E19/100)+'Freight to Qingdao'!P23)/(1-Assumptions!$D19/100))</f>
        <v>60.425155155725101</v>
      </c>
      <c r="Q20" s="33">
        <f>IF('Seaborne Supply'!Q19=0,0,('FOB Cost'!Q19/(1-Assumptions!$E19/100)+'Freight to Qingdao'!Q23)/(1-Assumptions!$D19/100))</f>
        <v>61.360530661048792</v>
      </c>
      <c r="R20" s="33">
        <f>IF('Seaborne Supply'!R19=0,0,('FOB Cost'!R19/(1-Assumptions!$E19/100)+'Freight to Qingdao'!R23)/(1-Assumptions!$D19/100))</f>
        <v>60.26551841940443</v>
      </c>
      <c r="S20" s="33">
        <f>IF('Seaborne Supply'!S19=0,0,('FOB Cost'!S19/(1-Assumptions!$E19/100)+'Freight to Qingdao'!S23)/(1-Assumptions!$D19/100))</f>
        <v>74.720548881170643</v>
      </c>
      <c r="T20" s="33">
        <f>IF('Seaborne Supply'!T19=0,0,('FOB Cost'!T19/(1-Assumptions!$E19/100)+'Freight to Qingdao'!T23)/(1-Assumptions!$D19/100))</f>
        <v>68.737032397654161</v>
      </c>
      <c r="U20" s="33">
        <f>IF('Seaborne Supply'!U19=0,0,('FOB Cost'!U19/(1-Assumptions!$E19/100)+'Freight to Qingdao'!U23)/(1-Assumptions!$D19/100))</f>
        <v>66.234834595456363</v>
      </c>
      <c r="V20" s="33">
        <f>IF('Seaborne Supply'!V19=0,0,('FOB Cost'!V19/(1-Assumptions!$E19/100)+'Freight to Qingdao'!V23)/(1-Assumptions!$D19/100))</f>
        <v>64.711757672379434</v>
      </c>
      <c r="W20" s="33">
        <f>IF('Seaborne Supply'!W19=0,0,('FOB Cost'!W19/(1-Assumptions!$E19/100)+'Freight to Qingdao'!W23)/(1-Assumptions!$D19/100))</f>
        <v>65.944052838353358</v>
      </c>
      <c r="X20" s="33">
        <f>IF('Seaborne Supply'!X19=0,0,('FOB Cost'!X19/(1-Assumptions!$E19/100)+'Freight to Qingdao'!X23)/(1-Assumptions!$D19/100))</f>
        <v>67.399014974662649</v>
      </c>
      <c r="Y20" s="33">
        <f>IF('Seaborne Supply'!Y19=0,0,('FOB Cost'!Y19/(1-Assumptions!$E19/100)+'Freight to Qingdao'!Y23)/(1-Assumptions!$D19/100))</f>
        <v>68.631310140636572</v>
      </c>
      <c r="Z20" s="33">
        <f>IF('Seaborne Supply'!Z19=0,0,('FOB Cost'!Z19/(1-Assumptions!$E19/100)+'Freight to Qingdao'!Z23)/(1-Assumptions!$D19/100))</f>
        <v>70.086272276945863</v>
      </c>
      <c r="AA20" s="33">
        <f>IF('Seaborne Supply'!AA19=0,0,('FOB Cost'!AA19/(1-Assumptions!$E19/100)+'Freight to Qingdao'!AA23)/(1-Assumptions!$D19/100))</f>
        <v>71.427358651710975</v>
      </c>
      <c r="AB20" s="33">
        <f>IF('Seaborne Supply'!AB19=0,0,('FOB Cost'!AB19/(1-Assumptions!$E19/100)+'Freight to Qingdao'!AB23)/(1-Assumptions!$D19/100))</f>
        <v>72.88232078802028</v>
      </c>
    </row>
    <row r="21" spans="1:28" x14ac:dyDescent="0.2">
      <c r="A21" s="7" t="s">
        <v>105</v>
      </c>
      <c r="B21" s="7"/>
      <c r="C21" s="33">
        <f>IF('Seaborne Supply'!C20=0,0,('FOB Cost'!C20/(1-Assumptions!$E20/100)+'Freight to Qingdao'!C24)/(1-Assumptions!$D20/100))</f>
        <v>79.201493911259575</v>
      </c>
      <c r="D21" s="33">
        <f>IF('Seaborne Supply'!D20=0,0,('FOB Cost'!D20/(1-Assumptions!$E20/100)+'Freight to Qingdao'!D24)/(1-Assumptions!$D20/100))</f>
        <v>80.705399647563198</v>
      </c>
      <c r="E21" s="33">
        <f>IF('Seaborne Supply'!E20=0,0,('FOB Cost'!E20/(1-Assumptions!$E20/100)+'Freight to Qingdao'!E24)/(1-Assumptions!$D20/100))</f>
        <v>81.018910602035717</v>
      </c>
      <c r="F21" s="33">
        <f>IF('Seaborne Supply'!F20=0,0,('FOB Cost'!F20/(1-Assumptions!$E20/100)+'Freight to Qingdao'!F24)/(1-Assumptions!$D20/100))</f>
        <v>81.493385234475696</v>
      </c>
      <c r="G21" s="33">
        <f>IF('Seaborne Supply'!G20=0,0,('FOB Cost'!G20/(1-Assumptions!$E20/100)+'Freight to Qingdao'!G24)/(1-Assumptions!$D20/100))</f>
        <v>77.093185344940949</v>
      </c>
      <c r="H21" s="33">
        <f>IF('Seaborne Supply'!H20=0,0,('FOB Cost'!H20/(1-Assumptions!$E20/100)+'Freight to Qingdao'!H24)/(1-Assumptions!$D20/100))</f>
        <v>59.764866784145603</v>
      </c>
      <c r="I21" s="33">
        <f>IF('Seaborne Supply'!I20=0,0,('FOB Cost'!I20/(1-Assumptions!$E20/100)+'Freight to Qingdao'!I24)/(1-Assumptions!$D20/100))</f>
        <v>57.632887088714135</v>
      </c>
      <c r="J21" s="33">
        <f>IF('Seaborne Supply'!J20=0,0,('FOB Cost'!J20/(1-Assumptions!$E20/100)+'Freight to Qingdao'!J24)/(1-Assumptions!$D20/100))</f>
        <v>0</v>
      </c>
      <c r="K21" s="33">
        <f>IF('Seaborne Supply'!K20=0,0,('FOB Cost'!K20/(1-Assumptions!$E20/100)+'Freight to Qingdao'!K24)/(1-Assumptions!$D20/100))</f>
        <v>0</v>
      </c>
      <c r="L21" s="33">
        <f>IF('Seaborne Supply'!L20=0,0,('FOB Cost'!L20/(1-Assumptions!$E20/100)+'Freight to Qingdao'!L24)/(1-Assumptions!$D20/100))</f>
        <v>0</v>
      </c>
      <c r="M21" s="33">
        <f>IF('Seaborne Supply'!M20=0,0,('FOB Cost'!M20/(1-Assumptions!$E20/100)+'Freight to Qingdao'!M24)/(1-Assumptions!$D20/100))</f>
        <v>0</v>
      </c>
      <c r="N21" s="33">
        <f>IF('Seaborne Supply'!N20=0,0,('FOB Cost'!N20/(1-Assumptions!$E20/100)+'Freight to Qingdao'!N24)/(1-Assumptions!$D20/100))</f>
        <v>79.709108124457543</v>
      </c>
      <c r="O21" s="33">
        <f>IF('Seaborne Supply'!O20=0,0,('FOB Cost'!O20/(1-Assumptions!$E20/100)+'Freight to Qingdao'!O24)/(1-Assumptions!$D20/100))</f>
        <v>82.228242287157101</v>
      </c>
      <c r="P21" s="33">
        <f>IF('Seaborne Supply'!P20=0,0,('FOB Cost'!P20/(1-Assumptions!$E20/100)+'Freight to Qingdao'!P24)/(1-Assumptions!$D20/100))</f>
        <v>78.025301806896195</v>
      </c>
      <c r="Q21" s="33">
        <f>IF('Seaborne Supply'!Q20=0,0,('FOB Cost'!Q20/(1-Assumptions!$E20/100)+'Freight to Qingdao'!Q24)/(1-Assumptions!$D20/100))</f>
        <v>79.245680018936909</v>
      </c>
      <c r="R21" s="33">
        <f>IF('Seaborne Supply'!R20=0,0,('FOB Cost'!R20/(1-Assumptions!$E20/100)+'Freight to Qingdao'!R24)/(1-Assumptions!$D20/100))</f>
        <v>67.26125036164224</v>
      </c>
      <c r="S21" s="33">
        <f>IF('Seaborne Supply'!S20=0,0,('FOB Cost'!S20/(1-Assumptions!$E20/100)+'Freight to Qingdao'!S24)/(1-Assumptions!$D20/100))</f>
        <v>81.970489992372649</v>
      </c>
      <c r="T21" s="33">
        <f>IF('Seaborne Supply'!T20=0,0,('FOB Cost'!T20/(1-Assumptions!$E20/100)+'Freight to Qingdao'!T24)/(1-Assumptions!$D20/100))</f>
        <v>75.334683464401252</v>
      </c>
      <c r="U21" s="33">
        <f>IF('Seaborne Supply'!U20=0,0,('FOB Cost'!U20/(1-Assumptions!$E20/100)+'Freight to Qingdao'!U24)/(1-Assumptions!$D20/100))</f>
        <v>69.843507535309428</v>
      </c>
      <c r="V21" s="33">
        <f>IF('Seaborne Supply'!V20=0,0,('FOB Cost'!V20/(1-Assumptions!$E20/100)+'Freight to Qingdao'!V24)/(1-Assumptions!$D20/100))</f>
        <v>66.318087372767678</v>
      </c>
      <c r="W21" s="33">
        <f>IF('Seaborne Supply'!W20=0,0,('FOB Cost'!W20/(1-Assumptions!$E20/100)+'Freight to Qingdao'!W24)/(1-Assumptions!$D20/100))</f>
        <v>67.565818889561044</v>
      </c>
      <c r="X21" s="33">
        <f>IF('Seaborne Supply'!X20=0,0,('FOB Cost'!X20/(1-Assumptions!$E20/100)+'Freight to Qingdao'!X24)/(1-Assumptions!$D20/100))</f>
        <v>69.020278267273355</v>
      </c>
      <c r="Y21" s="33">
        <f>IF('Seaborne Supply'!Y20=0,0,('FOB Cost'!Y20/(1-Assumptions!$E20/100)+'Freight to Qingdao'!Y24)/(1-Assumptions!$D20/100))</f>
        <v>70.268009784066706</v>
      </c>
      <c r="Z21" s="33">
        <f>IF('Seaborne Supply'!Z20=0,0,('FOB Cost'!Z20/(1-Assumptions!$E20/100)+'Freight to Qingdao'!Z24)/(1-Assumptions!$D20/100))</f>
        <v>71.722469161779003</v>
      </c>
      <c r="AA21" s="33">
        <f>IF('Seaborne Supply'!AA20=0,0,('FOB Cost'!AA20/(1-Assumptions!$E20/100)+'Freight to Qingdao'!AA24)/(1-Assumptions!$D20/100))</f>
        <v>73.176928539491342</v>
      </c>
      <c r="AB21" s="33">
        <f>IF('Seaborne Supply'!AB20=0,0,('FOB Cost'!AB20/(1-Assumptions!$E20/100)+'Freight to Qingdao'!AB24)/(1-Assumptions!$D20/100))</f>
        <v>74.631387917203654</v>
      </c>
    </row>
    <row r="22" spans="1:28" x14ac:dyDescent="0.2">
      <c r="A22" s="7" t="s">
        <v>107</v>
      </c>
      <c r="B22" s="7"/>
      <c r="C22" s="33">
        <f>IF('Seaborne Supply'!C21=0,0,('FOB Cost'!C21/(1-Assumptions!$E21/100)+'Freight to Qingdao'!C25)/(1-Assumptions!$D21/100))</f>
        <v>73.705766863676587</v>
      </c>
      <c r="D22" s="33">
        <f>IF('Seaborne Supply'!D21=0,0,('FOB Cost'!D21/(1-Assumptions!$E21/100)+'Freight to Qingdao'!D25)/(1-Assumptions!$D21/100))</f>
        <v>75.865182140931623</v>
      </c>
      <c r="E22" s="33">
        <f>IF('Seaborne Supply'!E21=0,0,('FOB Cost'!E21/(1-Assumptions!$E21/100)+'Freight to Qingdao'!E25)/(1-Assumptions!$D21/100))</f>
        <v>75.932199424229168</v>
      </c>
      <c r="F22" s="33">
        <f>IF('Seaborne Supply'!F21=0,0,('FOB Cost'!F21/(1-Assumptions!$E21/100)+'Freight to Qingdao'!F25)/(1-Assumptions!$D21/100))</f>
        <v>79.459111115632282</v>
      </c>
      <c r="G22" s="33">
        <f>IF('Seaborne Supply'!G21=0,0,('FOB Cost'!G21/(1-Assumptions!$E21/100)+'Freight to Qingdao'!G25)/(1-Assumptions!$D21/100))</f>
        <v>75.874327334872788</v>
      </c>
      <c r="H22" s="33">
        <f>IF('Seaborne Supply'!H21=0,0,('FOB Cost'!H21/(1-Assumptions!$E21/100)+'Freight to Qingdao'!H25)/(1-Assumptions!$D21/100))</f>
        <v>62.802233909443252</v>
      </c>
      <c r="I22" s="33">
        <f>IF('Seaborne Supply'!I21=0,0,('FOB Cost'!I21/(1-Assumptions!$E21/100)+'Freight to Qingdao'!I25)/(1-Assumptions!$D21/100))</f>
        <v>57.511866372338588</v>
      </c>
      <c r="J22" s="33">
        <f>IF('Seaborne Supply'!J21=0,0,('FOB Cost'!J21/(1-Assumptions!$E21/100)+'Freight to Qingdao'!J25)/(1-Assumptions!$D21/100))</f>
        <v>62.997141491104038</v>
      </c>
      <c r="K22" s="33">
        <f>IF('Seaborne Supply'!K21=0,0,('FOB Cost'!K21/(1-Assumptions!$E21/100)+'Freight to Qingdao'!K25)/(1-Assumptions!$D21/100))</f>
        <v>65.391046051493845</v>
      </c>
      <c r="L22" s="33">
        <f>IF('Seaborne Supply'!L21=0,0,('FOB Cost'!L21/(1-Assumptions!$E21/100)+'Freight to Qingdao'!L25)/(1-Assumptions!$D21/100))</f>
        <v>67.638769925638087</v>
      </c>
      <c r="M22" s="33">
        <f>IF('Seaborne Supply'!M21=0,0,('FOB Cost'!M21/(1-Assumptions!$E21/100)+'Freight to Qingdao'!M25)/(1-Assumptions!$D21/100))</f>
        <v>62.57074555201774</v>
      </c>
      <c r="N22" s="33">
        <f>IF('Seaborne Supply'!N21=0,0,('FOB Cost'!N21/(1-Assumptions!$E21/100)+'Freight to Qingdao'!N25)/(1-Assumptions!$D21/100))</f>
        <v>78.307813596736622</v>
      </c>
      <c r="O22" s="33">
        <f>IF('Seaborne Supply'!O21=0,0,('FOB Cost'!O21/(1-Assumptions!$E21/100)+'Freight to Qingdao'!O25)/(1-Assumptions!$D21/100))</f>
        <v>80.515955769406844</v>
      </c>
      <c r="P22" s="33">
        <f>IF('Seaborne Supply'!P21=0,0,('FOB Cost'!P21/(1-Assumptions!$E21/100)+'Freight to Qingdao'!P25)/(1-Assumptions!$D21/100))</f>
        <v>79.352512130860717</v>
      </c>
      <c r="Q22" s="33">
        <f>IF('Seaborne Supply'!Q21=0,0,('FOB Cost'!Q21/(1-Assumptions!$E21/100)+'Freight to Qingdao'!Q25)/(1-Assumptions!$D21/100))</f>
        <v>77.51289380792042</v>
      </c>
      <c r="R22" s="33">
        <f>IF('Seaborne Supply'!R21=0,0,('FOB Cost'!R21/(1-Assumptions!$E21/100)+'Freight to Qingdao'!R25)/(1-Assumptions!$D21/100))</f>
        <v>72.173799375400549</v>
      </c>
      <c r="S22" s="33">
        <f>IF('Seaborne Supply'!S21=0,0,('FOB Cost'!S21/(1-Assumptions!$E21/100)+'Freight to Qingdao'!S25)/(1-Assumptions!$D21/100))</f>
        <v>81.874306989613743</v>
      </c>
      <c r="T22" s="33">
        <f>IF('Seaborne Supply'!T21=0,0,('FOB Cost'!T21/(1-Assumptions!$E21/100)+'Freight to Qingdao'!T25)/(1-Assumptions!$D21/100))</f>
        <v>74.994099874876667</v>
      </c>
      <c r="U22" s="33">
        <f>IF('Seaborne Supply'!U21=0,0,('FOB Cost'!U21/(1-Assumptions!$E21/100)+'Freight to Qingdao'!U25)/(1-Assumptions!$D21/100))</f>
        <v>71.525060272829933</v>
      </c>
      <c r="V22" s="33">
        <f>IF('Seaborne Supply'!V21=0,0,('FOB Cost'!V21/(1-Assumptions!$E21/100)+'Freight to Qingdao'!V25)/(1-Assumptions!$D21/100))</f>
        <v>70.032674486027901</v>
      </c>
      <c r="W22" s="33">
        <f>IF('Seaborne Supply'!W21=0,0,('FOB Cost'!W21/(1-Assumptions!$E21/100)+'Freight to Qingdao'!W25)/(1-Assumptions!$D21/100))</f>
        <v>71.374607082184667</v>
      </c>
      <c r="X22" s="33">
        <f>IF('Seaborne Supply'!X21=0,0,('FOB Cost'!X21/(1-Assumptions!$E21/100)+'Freight to Qingdao'!X25)/(1-Assumptions!$D21/100))</f>
        <v>72.823138663113028</v>
      </c>
      <c r="Y22" s="33">
        <f>IF('Seaborne Supply'!Y21=0,0,('FOB Cost'!Y21/(1-Assumptions!$E21/100)+'Freight to Qingdao'!Y25)/(1-Assumptions!$D21/100))</f>
        <v>74.26679755449986</v>
      </c>
      <c r="Z22" s="33">
        <f>IF('Seaborne Supply'!Z21=0,0,('FOB Cost'!Z21/(1-Assumptions!$E21/100)+'Freight to Qingdao'!Z25)/(1-Assumptions!$D21/100))</f>
        <v>75.817055430658272</v>
      </c>
      <c r="AA22" s="33">
        <f>IF('Seaborne Supply'!AA21=0,0,('FOB Cost'!AA21/(1-Assumptions!$E21/100)+'Freight to Qingdao'!AA25)/(1-Assumptions!$D21/100))</f>
        <v>77.367313306816683</v>
      </c>
      <c r="AB22" s="33">
        <f>IF('Seaborne Supply'!AB21=0,0,('FOB Cost'!AB21/(1-Assumptions!$E21/100)+'Freight to Qingdao'!AB25)/(1-Assumptions!$D21/100))</f>
        <v>78.917571182975095</v>
      </c>
    </row>
    <row r="23" spans="1:28" x14ac:dyDescent="0.2">
      <c r="A23" s="7" t="s">
        <v>110</v>
      </c>
      <c r="B23" s="7"/>
      <c r="C23" s="33">
        <f>IF('Seaborne Supply'!C22=0,0,('FOB Cost'!C22/(1-Assumptions!$E22/100)+'Freight to Qingdao'!C26)/(1-Assumptions!$D22/100))</f>
        <v>74.71671245421247</v>
      </c>
      <c r="D23" s="33">
        <f>IF('Seaborne Supply'!D22=0,0,('FOB Cost'!D22/(1-Assumptions!$E22/100)+'Freight to Qingdao'!D26)/(1-Assumptions!$D22/100))</f>
        <v>76.354739010989022</v>
      </c>
      <c r="E23" s="33">
        <f>IF('Seaborne Supply'!E22=0,0,('FOB Cost'!E22/(1-Assumptions!$E22/100)+'Freight to Qingdao'!E26)/(1-Assumptions!$D22/100))</f>
        <v>74.407760989010981</v>
      </c>
      <c r="F23" s="33">
        <f>IF('Seaborne Supply'!F22=0,0,('FOB Cost'!F22/(1-Assumptions!$E22/100)+'Freight to Qingdao'!F26)/(1-Assumptions!$D22/100))</f>
        <v>73.664217032967031</v>
      </c>
      <c r="G23" s="33">
        <f>IF('Seaborne Supply'!G22=0,0,('FOB Cost'!G22/(1-Assumptions!$E22/100)+'Freight to Qingdao'!G26)/(1-Assumptions!$D22/100))</f>
        <v>71.96744505494506</v>
      </c>
      <c r="H23" s="33">
        <f>IF('Seaborne Supply'!H22=0,0,('FOB Cost'!H22/(1-Assumptions!$E22/100)+'Freight to Qingdao'!H26)/(1-Assumptions!$D22/100))</f>
        <v>51.286080586080587</v>
      </c>
      <c r="I23" s="33">
        <f>IF('Seaborne Supply'!I22=0,0,('FOB Cost'!I22/(1-Assumptions!$E22/100)+'Freight to Qingdao'!I26)/(1-Assumptions!$D22/100))</f>
        <v>38.66513278388279</v>
      </c>
      <c r="J23" s="33">
        <f>IF('Seaborne Supply'!J22=0,0,('FOB Cost'!J22/(1-Assumptions!$E22/100)+'Freight to Qingdao'!J26)/(1-Assumptions!$D22/100))</f>
        <v>51.123992673992667</v>
      </c>
      <c r="K23" s="33">
        <f>IF('Seaborne Supply'!K22=0,0,('FOB Cost'!K22/(1-Assumptions!$E22/100)+'Freight to Qingdao'!K26)/(1-Assumptions!$D22/100))</f>
        <v>56.946703296703291</v>
      </c>
      <c r="L23" s="33">
        <f>IF('Seaborne Supply'!L22=0,0,('FOB Cost'!L22/(1-Assumptions!$E22/100)+'Freight to Qingdao'!L26)/(1-Assumptions!$D22/100))</f>
        <v>58.312225274725279</v>
      </c>
      <c r="M23" s="33">
        <f>IF('Seaborne Supply'!M22=0,0,('FOB Cost'!M22/(1-Assumptions!$E22/100)+'Freight to Qingdao'!M26)/(1-Assumptions!$D22/100))</f>
        <v>52.399358974358975</v>
      </c>
      <c r="N23" s="33">
        <f>IF('Seaborne Supply'!N22=0,0,('FOB Cost'!N22/(1-Assumptions!$E22/100)+'Freight to Qingdao'!N26)/(1-Assumptions!$D22/100))</f>
        <v>74.124107142857142</v>
      </c>
      <c r="O23" s="33">
        <f>IF('Seaborne Supply'!O22=0,0,('FOB Cost'!O22/(1-Assumptions!$E22/100)+'Freight to Qingdao'!O26)/(1-Assumptions!$D22/100))</f>
        <v>79.728021978021971</v>
      </c>
      <c r="P23" s="33">
        <f>IF('Seaborne Supply'!P22=0,0,('FOB Cost'!P22/(1-Assumptions!$E22/100)+'Freight to Qingdao'!P26)/(1-Assumptions!$D22/100))</f>
        <v>81.56662087912089</v>
      </c>
      <c r="Q23" s="33">
        <f>IF('Seaborne Supply'!Q22=0,0,('FOB Cost'!Q22/(1-Assumptions!$E22/100)+'Freight to Qingdao'!Q26)/(1-Assumptions!$D22/100))</f>
        <v>87.12797619047619</v>
      </c>
      <c r="R23" s="33">
        <f>IF('Seaborne Supply'!R22=0,0,('FOB Cost'!R22/(1-Assumptions!$E22/100)+'Freight to Qingdao'!R26)/(1-Assumptions!$D22/100))</f>
        <v>81.988026556776546</v>
      </c>
      <c r="S23" s="33">
        <f>IF('Seaborne Supply'!S22=0,0,('FOB Cost'!S22/(1-Assumptions!$E22/100)+'Freight to Qingdao'!S26)/(1-Assumptions!$D22/100))</f>
        <v>90.318910256410263</v>
      </c>
      <c r="T23" s="33">
        <f>IF('Seaborne Supply'!T22=0,0,('FOB Cost'!T22/(1-Assumptions!$E22/100)+'Freight to Qingdao'!T26)/(1-Assumptions!$D22/100))</f>
        <v>81.956616300366306</v>
      </c>
      <c r="U23" s="33">
        <f>IF('Seaborne Supply'!U22=0,0,('FOB Cost'!U22/(1-Assumptions!$E22/100)+'Freight to Qingdao'!U26)/(1-Assumptions!$D22/100))</f>
        <v>77.127655677655667</v>
      </c>
      <c r="V23" s="33">
        <f>IF('Seaborne Supply'!V22=0,0,('FOB Cost'!V22/(1-Assumptions!$E22/100)+'Freight to Qingdao'!V26)/(1-Assumptions!$D22/100))</f>
        <v>73.864789377289384</v>
      </c>
      <c r="W23" s="33">
        <f>IF('Seaborne Supply'!W22=0,0,('FOB Cost'!W22/(1-Assumptions!$E22/100)+'Freight to Qingdao'!W26)/(1-Assumptions!$D22/100))</f>
        <v>73.734111721611725</v>
      </c>
      <c r="X23" s="33">
        <f>IF('Seaborne Supply'!X22=0,0,('FOB Cost'!X22/(1-Assumptions!$E22/100)+'Freight to Qingdao'!X26)/(1-Assumptions!$D22/100))</f>
        <v>75.316414835164835</v>
      </c>
      <c r="Y23" s="33">
        <f>IF('Seaborne Supply'!Y22=0,0,('FOB Cost'!Y22/(1-Assumptions!$E22/100)+'Freight to Qingdao'!Y26)/(1-Assumptions!$D22/100))</f>
        <v>76.673832417582432</v>
      </c>
      <c r="Z23" s="33">
        <f>IF('Seaborne Supply'!Z22=0,0,('FOB Cost'!Z22/(1-Assumptions!$E22/100)+'Freight to Qingdao'!Z26)/(1-Assumptions!$D22/100))</f>
        <v>78.256135531135527</v>
      </c>
      <c r="AA23" s="33">
        <f>IF('Seaborne Supply'!AA22=0,0,('FOB Cost'!AA22/(1-Assumptions!$E22/100)+'Freight to Qingdao'!AA26)/(1-Assumptions!$D22/100))</f>
        <v>79.838438644688651</v>
      </c>
      <c r="AB23" s="33">
        <f>IF('Seaborne Supply'!AB22=0,0,('FOB Cost'!AB22/(1-Assumptions!$E22/100)+'Freight to Qingdao'!AB26)/(1-Assumptions!$D22/100))</f>
        <v>81.535210622710622</v>
      </c>
    </row>
    <row r="24" spans="1:28" x14ac:dyDescent="0.2">
      <c r="A24" s="7" t="s">
        <v>115</v>
      </c>
      <c r="B24" s="7"/>
      <c r="C24" s="33">
        <f>IF('Seaborne Supply'!C23=0,0,('FOB Cost'!C23/(1-Assumptions!$E23/100)+'Freight to Qingdao'!C27)/(1-Assumptions!$D23/100))</f>
        <v>50.121176340763633</v>
      </c>
      <c r="D24" s="33">
        <f>IF('Seaborne Supply'!D23=0,0,('FOB Cost'!D23/(1-Assumptions!$E23/100)+'Freight to Qingdao'!D27)/(1-Assumptions!$D23/100))</f>
        <v>61.680506510704042</v>
      </c>
      <c r="E24" s="33">
        <f>IF('Seaborne Supply'!E23=0,0,('FOB Cost'!E23/(1-Assumptions!$E23/100)+'Freight to Qingdao'!E27)/(1-Assumptions!$D23/100))</f>
        <v>56.947401235930258</v>
      </c>
      <c r="F24" s="33">
        <f>IF('Seaborne Supply'!F23=0,0,('FOB Cost'!F23/(1-Assumptions!$E23/100)+'Freight to Qingdao'!F27)/(1-Assumptions!$D23/100))</f>
        <v>57.989742882365924</v>
      </c>
      <c r="G24" s="33">
        <f>IF('Seaborne Supply'!G23=0,0,('FOB Cost'!G23/(1-Assumptions!$E23/100)+'Freight to Qingdao'!G27)/(1-Assumptions!$D23/100))</f>
        <v>51.690057382476276</v>
      </c>
      <c r="H24" s="33">
        <f>IF('Seaborne Supply'!H23=0,0,('FOB Cost'!H23/(1-Assumptions!$E23/100)+'Freight to Qingdao'!H27)/(1-Assumptions!$D23/100))</f>
        <v>33.057338335908184</v>
      </c>
      <c r="I24" s="33">
        <f>IF('Seaborne Supply'!I23=0,0,('FOB Cost'!I23/(1-Assumptions!$E23/100)+'Freight to Qingdao'!I27)/(1-Assumptions!$D23/100))</f>
        <v>30.611018538953871</v>
      </c>
      <c r="J24" s="33">
        <f>IF('Seaborne Supply'!J23=0,0,('FOB Cost'!J23/(1-Assumptions!$E23/100)+'Freight to Qingdao'!J27)/(1-Assumptions!$D23/100))</f>
        <v>37.990244979033328</v>
      </c>
      <c r="K24" s="33">
        <f>IF('Seaborne Supply'!K23=0,0,('FOB Cost'!K23/(1-Assumptions!$E23/100)+'Freight to Qingdao'!K27)/(1-Assumptions!$D23/100))</f>
        <v>44.187728978150517</v>
      </c>
      <c r="L24" s="33">
        <f>IF('Seaborne Supply'!L23=0,0,('FOB Cost'!L23/(1-Assumptions!$E23/100)+'Freight to Qingdao'!L27)/(1-Assumptions!$D23/100))</f>
        <v>45.140620172147422</v>
      </c>
      <c r="M24" s="33">
        <f>IF('Seaborne Supply'!M23=0,0,('FOB Cost'!M23/(1-Assumptions!$E23/100)+'Freight to Qingdao'!M27)/(1-Assumptions!$D23/100))</f>
        <v>54.733767380269256</v>
      </c>
      <c r="N24" s="33">
        <f>IF('Seaborne Supply'!N23=0,0,('FOB Cost'!N23/(1-Assumptions!$E23/100)+'Freight to Qingdao'!N27)/(1-Assumptions!$D23/100))</f>
        <v>66.352444272787466</v>
      </c>
      <c r="O24" s="33">
        <f>IF('Seaborne Supply'!O23=0,0,('FOB Cost'!O23/(1-Assumptions!$E23/100)+'Freight to Qingdao'!O27)/(1-Assumptions!$D23/100))</f>
        <v>68.330611344074143</v>
      </c>
      <c r="P24" s="33">
        <f>IF('Seaborne Supply'!P23=0,0,('FOB Cost'!P23/(1-Assumptions!$E23/100)+'Freight to Qingdao'!P27)/(1-Assumptions!$D23/100))</f>
        <v>65.95514235268152</v>
      </c>
      <c r="Q24" s="33">
        <f>IF('Seaborne Supply'!Q23=0,0,('FOB Cost'!Q23/(1-Assumptions!$E23/100)+'Freight to Qingdao'!Q27)/(1-Assumptions!$D23/100))</f>
        <v>67.798223350253807</v>
      </c>
      <c r="R24" s="33">
        <f>IF('Seaborne Supply'!R23=0,0,('FOB Cost'!R23/(1-Assumptions!$E23/100)+'Freight to Qingdao'!R27)/(1-Assumptions!$D23/100))</f>
        <v>69.525871772235703</v>
      </c>
      <c r="S24" s="33">
        <f>IF('Seaborne Supply'!S23=0,0,('FOB Cost'!S23/(1-Assumptions!$E23/100)+'Freight to Qingdao'!S27)/(1-Assumptions!$D23/100))</f>
        <v>82.039340101522839</v>
      </c>
      <c r="T24" s="33">
        <f>IF('Seaborne Supply'!T23=0,0,('FOB Cost'!T23/(1-Assumptions!$E23/100)+'Freight to Qingdao'!T27)/(1-Assumptions!$D23/100))</f>
        <v>73.766856102405654</v>
      </c>
      <c r="U24" s="33">
        <f>IF('Seaborne Supply'!U23=0,0,('FOB Cost'!U23/(1-Assumptions!$E23/100)+'Freight to Qingdao'!U27)/(1-Assumptions!$D23/100))</f>
        <v>69.484837784153612</v>
      </c>
      <c r="V24" s="33">
        <f>IF('Seaborne Supply'!V23=0,0,('FOB Cost'!V23/(1-Assumptions!$E23/100)+'Freight to Qingdao'!V27)/(1-Assumptions!$D23/100))</f>
        <v>67.118285146766709</v>
      </c>
      <c r="W24" s="33">
        <f>IF('Seaborne Supply'!W23=0,0,('FOB Cost'!W23/(1-Assumptions!$E23/100)+'Freight to Qingdao'!W27)/(1-Assumptions!$D23/100))</f>
        <v>68.472312955197523</v>
      </c>
      <c r="X24" s="33">
        <f>IF('Seaborne Supply'!X23=0,0,('FOB Cost'!X23/(1-Assumptions!$E23/100)+'Freight to Qingdao'!X27)/(1-Assumptions!$D23/100))</f>
        <v>69.916558154932673</v>
      </c>
      <c r="Y24" s="33">
        <f>IF('Seaborne Supply'!Y23=0,0,('FOB Cost'!Y23/(1-Assumptions!$E23/100)+'Freight to Qingdao'!Y27)/(1-Assumptions!$D23/100))</f>
        <v>71.270585963363501</v>
      </c>
      <c r="Z24" s="33">
        <f>IF('Seaborne Supply'!Z23=0,0,('FOB Cost'!Z23/(1-Assumptions!$E23/100)+'Freight to Qingdao'!Z27)/(1-Assumptions!$D23/100))</f>
        <v>72.714831163098651</v>
      </c>
      <c r="AA24" s="33">
        <f>IF('Seaborne Supply'!AA23=0,0,('FOB Cost'!AA23/(1-Assumptions!$E23/100)+'Freight to Qingdao'!AA27)/(1-Assumptions!$D23/100))</f>
        <v>74.159076362833815</v>
      </c>
      <c r="AB24" s="33">
        <f>IF('Seaborne Supply'!AB23=0,0,('FOB Cost'!AB23/(1-Assumptions!$E23/100)+'Freight to Qingdao'!AB27)/(1-Assumptions!$D23/100))</f>
        <v>75.713672478481556</v>
      </c>
    </row>
    <row r="25" spans="1:28" x14ac:dyDescent="0.2">
      <c r="A25" s="7" t="s">
        <v>153</v>
      </c>
      <c r="B25" s="7"/>
      <c r="C25" s="33">
        <f>IF('Seaborne Supply'!C24=0,0,('FOB Cost'!C24/(1-Assumptions!$E24/100)+'Freight to Qingdao'!C28)/(1-Assumptions!$D24/100))</f>
        <v>73.484640171858217</v>
      </c>
      <c r="D25" s="33">
        <f>IF('Seaborne Supply'!D24=0,0,('FOB Cost'!D24/(1-Assumptions!$E24/100)+'Freight to Qingdao'!D28)/(1-Assumptions!$D24/100))</f>
        <v>83.429108485499469</v>
      </c>
      <c r="E25" s="33">
        <f>IF('Seaborne Supply'!E24=0,0,('FOB Cost'!E24/(1-Assumptions!$E24/100)+'Freight to Qingdao'!E28)/(1-Assumptions!$D24/100))</f>
        <v>91.404618689581099</v>
      </c>
      <c r="F25" s="33">
        <f>IF('Seaborne Supply'!F24=0,0,('FOB Cost'!F24/(1-Assumptions!$E24/100)+'Freight to Qingdao'!F28)/(1-Assumptions!$D24/100))</f>
        <v>93.055961331901187</v>
      </c>
      <c r="G25" s="33">
        <f>IF('Seaborne Supply'!G24=0,0,('FOB Cost'!G24/(1-Assumptions!$E24/100)+'Freight to Qingdao'!G28)/(1-Assumptions!$D24/100))</f>
        <v>79.768635875402794</v>
      </c>
      <c r="H25" s="33">
        <f>IF('Seaborne Supply'!H24=0,0,('FOB Cost'!H24/(1-Assumptions!$E24/100)+'Freight to Qingdao'!H28)/(1-Assumptions!$D24/100))</f>
        <v>54.027067669172929</v>
      </c>
      <c r="I25" s="33">
        <f>IF('Seaborne Supply'!I24=0,0,('FOB Cost'!I24/(1-Assumptions!$E24/100)+'Freight to Qingdao'!I28)/(1-Assumptions!$D24/100))</f>
        <v>46.985069817400642</v>
      </c>
      <c r="J25" s="33">
        <f>IF('Seaborne Supply'!J24=0,0,('FOB Cost'!J24/(1-Assumptions!$E24/100)+'Freight to Qingdao'!J28)/(1-Assumptions!$D24/100))</f>
        <v>57.210741138560692</v>
      </c>
      <c r="K25" s="33">
        <f>IF('Seaborne Supply'!K24=0,0,('FOB Cost'!K24/(1-Assumptions!$E24/100)+'Freight to Qingdao'!K28)/(1-Assumptions!$D24/100))</f>
        <v>71.572932330827072</v>
      </c>
      <c r="L25" s="33">
        <f>IF('Seaborne Supply'!L24=0,0,('FOB Cost'!L24/(1-Assumptions!$E24/100)+'Freight to Qingdao'!L28)/(1-Assumptions!$D24/100))</f>
        <v>77.102685284640174</v>
      </c>
      <c r="M25" s="33">
        <f>IF('Seaborne Supply'!M24=0,0,('FOB Cost'!M24/(1-Assumptions!$E24/100)+'Freight to Qingdao'!M28)/(1-Assumptions!$D24/100))</f>
        <v>67.633512352309353</v>
      </c>
      <c r="N25" s="33">
        <f>IF('Seaborne Supply'!N24=0,0,('FOB Cost'!N24/(1-Assumptions!$E24/100)+'Freight to Qingdao'!N28)/(1-Assumptions!$D24/100))</f>
        <v>93.216648764769076</v>
      </c>
      <c r="O25" s="33">
        <f>IF('Seaborne Supply'!O24=0,0,('FOB Cost'!O24/(1-Assumptions!$E24/100)+'Freight to Qingdao'!O28)/(1-Assumptions!$D24/100))</f>
        <v>126.51342642320087</v>
      </c>
      <c r="P25" s="33">
        <f>IF('Seaborne Supply'!P24=0,0,('FOB Cost'!P24/(1-Assumptions!$E24/100)+'Freight to Qingdao'!P28)/(1-Assumptions!$D24/100))</f>
        <v>119.82921589688507</v>
      </c>
      <c r="Q25" s="33">
        <f>IF('Seaborne Supply'!Q24=0,0,('FOB Cost'!Q24/(1-Assumptions!$E24/100)+'Freight to Qingdao'!Q28)/(1-Assumptions!$D24/100))</f>
        <v>111.19763694951665</v>
      </c>
      <c r="R25" s="33">
        <f>IF('Seaborne Supply'!R24=0,0,('FOB Cost'!R24/(1-Assumptions!$E24/100)+'Freight to Qingdao'!R28)/(1-Assumptions!$D24/100))</f>
        <v>96.915037593984948</v>
      </c>
      <c r="S25" s="33">
        <f>IF('Seaborne Supply'!S24=0,0,('FOB Cost'!S24/(1-Assumptions!$E24/100)+'Freight to Qingdao'!S28)/(1-Assumptions!$D24/100))</f>
        <v>112.75080558539207</v>
      </c>
      <c r="T25" s="33">
        <f>IF('Seaborne Supply'!T24=0,0,('FOB Cost'!T24/(1-Assumptions!$E24/100)+'Freight to Qingdao'!T28)/(1-Assumptions!$D24/100))</f>
        <v>97.632116004296464</v>
      </c>
      <c r="U25" s="33">
        <f>IF('Seaborne Supply'!U24=0,0,('FOB Cost'!U24/(1-Assumptions!$E24/100)+'Freight to Qingdao'!U28)/(1-Assumptions!$D24/100))</f>
        <v>88.2827067669173</v>
      </c>
      <c r="V25" s="33">
        <f>IF('Seaborne Supply'!V24=0,0,('FOB Cost'!V24/(1-Assumptions!$E24/100)+'Freight to Qingdao'!V28)/(1-Assumptions!$D24/100))</f>
        <v>82.87196562835662</v>
      </c>
      <c r="W25" s="33">
        <f>IF('Seaborne Supply'!W24=0,0,('FOB Cost'!W24/(1-Assumptions!$E24/100)+'Freight to Qingdao'!W28)/(1-Assumptions!$D24/100))</f>
        <v>81.042105263157907</v>
      </c>
      <c r="X25" s="33">
        <f>IF('Seaborne Supply'!X24=0,0,('FOB Cost'!X24/(1-Assumptions!$E24/100)+'Freight to Qingdao'!X28)/(1-Assumptions!$D24/100))</f>
        <v>82.729001074113853</v>
      </c>
      <c r="Y25" s="33">
        <f>IF('Seaborne Supply'!Y24=0,0,('FOB Cost'!Y24/(1-Assumptions!$E24/100)+'Freight to Qingdao'!Y28)/(1-Assumptions!$D24/100))</f>
        <v>84.336305048335134</v>
      </c>
      <c r="Z25" s="33">
        <f>IF('Seaborne Supply'!Z24=0,0,('FOB Cost'!Z24/(1-Assumptions!$E24/100)+'Freight to Qingdao'!Z28)/(1-Assumptions!$D24/100))</f>
        <v>86.023200859291094</v>
      </c>
      <c r="AA25" s="33">
        <f>IF('Seaborne Supply'!AA24=0,0,('FOB Cost'!AA24/(1-Assumptions!$E24/100)+'Freight to Qingdao'!AA28)/(1-Assumptions!$D24/100))</f>
        <v>87.817508055853935</v>
      </c>
      <c r="AB25" s="33">
        <f>IF('Seaborne Supply'!AB24=0,0,('FOB Cost'!AB24/(1-Assumptions!$E24/100)+'Freight to Qingdao'!AB28)/(1-Assumptions!$D24/100))</f>
        <v>89.504403866809881</v>
      </c>
    </row>
    <row r="26" spans="1:28" x14ac:dyDescent="0.2">
      <c r="A26" s="7" t="s">
        <v>154</v>
      </c>
      <c r="B26" s="7"/>
      <c r="C26" s="33">
        <f>IF('Seaborne Supply'!C25=0,0,('FOB Cost'!C25/(1-Assumptions!$E25/100)+'Freight to Qingdao'!C29)/(1-Assumptions!$D25/100))</f>
        <v>81.090929451287806</v>
      </c>
      <c r="D26" s="33">
        <f>IF('Seaborne Supply'!D25=0,0,('FOB Cost'!D25/(1-Assumptions!$E25/100)+'Freight to Qingdao'!D29)/(1-Assumptions!$D25/100))</f>
        <v>90.338745800671887</v>
      </c>
      <c r="E26" s="33">
        <f>IF('Seaborne Supply'!E25=0,0,('FOB Cost'!E25/(1-Assumptions!$E25/100)+'Freight to Qingdao'!E29)/(1-Assumptions!$D25/100))</f>
        <v>96.973908174692056</v>
      </c>
      <c r="F26" s="33">
        <f>IF('Seaborne Supply'!F25=0,0,('FOB Cost'!F25/(1-Assumptions!$E25/100)+'Freight to Qingdao'!F29)/(1-Assumptions!$D25/100))</f>
        <v>99.255431131019051</v>
      </c>
      <c r="G26" s="33">
        <f>IF('Seaborne Supply'!G25=0,0,('FOB Cost'!G25/(1-Assumptions!$E25/100)+'Freight to Qingdao'!G29)/(1-Assumptions!$D25/100))</f>
        <v>86.522508398656228</v>
      </c>
      <c r="H26" s="33">
        <f>IF('Seaborne Supply'!H25=0,0,('FOB Cost'!H25/(1-Assumptions!$E25/100)+'Freight to Qingdao'!H29)/(1-Assumptions!$D25/100))</f>
        <v>61.925195968645014</v>
      </c>
      <c r="I26" s="33">
        <f>IF('Seaborne Supply'!I25=0,0,('FOB Cost'!I25/(1-Assumptions!$E25/100)+'Freight to Qingdao'!I29)/(1-Assumptions!$D25/100))</f>
        <v>54.583538633818591</v>
      </c>
      <c r="J26" s="33">
        <f>IF('Seaborne Supply'!J25=0,0,('FOB Cost'!J25/(1-Assumptions!$E25/100)+'Freight to Qingdao'!J29)/(1-Assumptions!$D25/100))</f>
        <v>64.124524076147821</v>
      </c>
      <c r="K26" s="33">
        <f>IF('Seaborne Supply'!K25=0,0,('FOB Cost'!K25/(1-Assumptions!$E25/100)+'Freight to Qingdao'!K29)/(1-Assumptions!$D25/100))</f>
        <v>73.498768197088467</v>
      </c>
      <c r="L26" s="33">
        <f>IF('Seaborne Supply'!L25=0,0,('FOB Cost'!L25/(1-Assumptions!$E25/100)+'Freight to Qingdao'!L29)/(1-Assumptions!$D25/100))</f>
        <v>79.263829787234044</v>
      </c>
      <c r="M26" s="33">
        <f>IF('Seaborne Supply'!M25=0,0,('FOB Cost'!M25/(1-Assumptions!$E25/100)+'Freight to Qingdao'!M29)/(1-Assumptions!$D25/100))</f>
        <v>72.751175811870112</v>
      </c>
      <c r="N26" s="33">
        <f>IF('Seaborne Supply'!N25=0,0,('FOB Cost'!N25/(1-Assumptions!$E25/100)+'Freight to Qingdao'!N29)/(1-Assumptions!$D25/100))</f>
        <v>99.422956326987702</v>
      </c>
      <c r="O26" s="33">
        <f>IF('Seaborne Supply'!O25=0,0,('FOB Cost'!O25/(1-Assumptions!$E25/100)+'Freight to Qingdao'!O29)/(1-Assumptions!$D25/100))</f>
        <v>126.29787234042554</v>
      </c>
      <c r="P26" s="33">
        <f>IF('Seaborne Supply'!P25=0,0,('FOB Cost'!P25/(1-Assumptions!$E25/100)+'Freight to Qingdao'!P29)/(1-Assumptions!$D25/100))</f>
        <v>114.84994400895857</v>
      </c>
      <c r="Q26" s="33">
        <f>IF('Seaborne Supply'!Q25=0,0,('FOB Cost'!Q25/(1-Assumptions!$E25/100)+'Freight to Qingdao'!Q29)/(1-Assumptions!$D25/100))</f>
        <v>102.49160134378501</v>
      </c>
      <c r="R26" s="33">
        <f>IF('Seaborne Supply'!R25=0,0,('FOB Cost'!R25/(1-Assumptions!$E25/100)+'Freight to Qingdao'!R29)/(1-Assumptions!$D25/100))</f>
        <v>96.559798432250858</v>
      </c>
      <c r="S26" s="33">
        <f>IF('Seaborne Supply'!S25=0,0,('FOB Cost'!S25/(1-Assumptions!$E25/100)+'Freight to Qingdao'!S29)/(1-Assumptions!$D25/100))</f>
        <v>107.47032474804033</v>
      </c>
      <c r="T26" s="33">
        <f>IF('Seaborne Supply'!T25=0,0,('FOB Cost'!T25/(1-Assumptions!$E25/100)+'Freight to Qingdao'!T29)/(1-Assumptions!$D25/100))</f>
        <v>95.067749160134383</v>
      </c>
      <c r="U26" s="33">
        <f>IF('Seaborne Supply'!U25=0,0,('FOB Cost'!U25/(1-Assumptions!$E25/100)+'Freight to Qingdao'!U29)/(1-Assumptions!$D25/100))</f>
        <v>86.440313549832041</v>
      </c>
      <c r="V26" s="33">
        <f>IF('Seaborne Supply'!V25=0,0,('FOB Cost'!V25/(1-Assumptions!$E25/100)+'Freight to Qingdao'!V29)/(1-Assumptions!$D25/100))</f>
        <v>81.919148936170217</v>
      </c>
      <c r="W26" s="33">
        <f>IF('Seaborne Supply'!W25=0,0,('FOB Cost'!W25/(1-Assumptions!$E25/100)+'Freight to Qingdao'!W29)/(1-Assumptions!$D25/100))</f>
        <v>80.011422172452413</v>
      </c>
      <c r="X26" s="33">
        <f>IF('Seaborne Supply'!X25=0,0,('FOB Cost'!X25/(1-Assumptions!$E25/100)+'Freight to Qingdao'!X29)/(1-Assumptions!$D25/100))</f>
        <v>81.658118701007851</v>
      </c>
      <c r="Y26" s="33">
        <f>IF('Seaborne Supply'!Y25=0,0,('FOB Cost'!Y25/(1-Assumptions!$E25/100)+'Freight to Qingdao'!Y29)/(1-Assumptions!$D25/100))</f>
        <v>83.221836506159022</v>
      </c>
      <c r="Z26" s="33">
        <f>IF('Seaborne Supply'!Z25=0,0,('FOB Cost'!Z25/(1-Assumptions!$E25/100)+'Freight to Qingdao'!Z29)/(1-Assumptions!$D25/100))</f>
        <v>84.980515117581191</v>
      </c>
      <c r="AA26" s="33">
        <f>IF('Seaborne Supply'!AA25=0,0,('FOB Cost'!AA25/(1-Assumptions!$E25/100)+'Freight to Qingdao'!AA29)/(1-Assumptions!$D25/100))</f>
        <v>86.627211646136629</v>
      </c>
      <c r="AB26" s="33">
        <f>IF('Seaborne Supply'!AB25=0,0,('FOB Cost'!AB25/(1-Assumptions!$E25/100)+'Freight to Qingdao'!AB29)/(1-Assumptions!$D25/100))</f>
        <v>88.385890257558813</v>
      </c>
    </row>
    <row r="27" spans="1:28" x14ac:dyDescent="0.2">
      <c r="A27" s="7" t="s">
        <v>169</v>
      </c>
      <c r="B27" s="7"/>
      <c r="C27" s="33">
        <f>IF('Seaborne Supply'!C26=0,0,('FOB Cost'!C26/(1-Assumptions!$E26/100)+'Freight to Qingdao'!C30)/(1-Assumptions!$D26/100))</f>
        <v>36.611235955056181</v>
      </c>
      <c r="D27" s="33">
        <f>IF('Seaborne Supply'!D26=0,0,('FOB Cost'!D26/(1-Assumptions!$E26/100)+'Freight to Qingdao'!D30)/(1-Assumptions!$D26/100))</f>
        <v>36.165697290152011</v>
      </c>
      <c r="E27" s="33">
        <f>IF('Seaborne Supply'!E26=0,0,('FOB Cost'!E26/(1-Assumptions!$E26/100)+'Freight to Qingdao'!E30)/(1-Assumptions!$D26/100))</f>
        <v>34.398281559814933</v>
      </c>
      <c r="F27" s="33">
        <f>IF('Seaborne Supply'!F26=0,0,('FOB Cost'!F26/(1-Assumptions!$E26/100)+'Freight to Qingdao'!F30)/(1-Assumptions!$D26/100))</f>
        <v>37.079709187045609</v>
      </c>
      <c r="G27" s="33">
        <f>IF('Seaborne Supply'!G26=0,0,('FOB Cost'!G26/(1-Assumptions!$E26/100)+'Freight to Qingdao'!G30)/(1-Assumptions!$D26/100))</f>
        <v>0</v>
      </c>
      <c r="H27" s="33">
        <f>IF('Seaborne Supply'!H26=0,0,('FOB Cost'!H26/(1-Assumptions!$E26/100)+'Freight to Qingdao'!H30)/(1-Assumptions!$D26/100))</f>
        <v>0</v>
      </c>
      <c r="I27" s="33">
        <f>IF('Seaborne Supply'!I26=0,0,('FOB Cost'!I26/(1-Assumptions!$E26/100)+'Freight to Qingdao'!I30)/(1-Assumptions!$D26/100))</f>
        <v>25.02081956378057</v>
      </c>
      <c r="J27" s="33">
        <f>IF('Seaborne Supply'!J26=0,0,('FOB Cost'!J26/(1-Assumptions!$E26/100)+'Freight to Qingdao'!J30)/(1-Assumptions!$D26/100))</f>
        <v>27.751222736285523</v>
      </c>
      <c r="K27" s="33">
        <f>IF('Seaborne Supply'!K26=0,0,('FOB Cost'!K26/(1-Assumptions!$E26/100)+'Freight to Qingdao'!K30)/(1-Assumptions!$D26/100))</f>
        <v>30.821678783873097</v>
      </c>
      <c r="L27" s="33">
        <f>IF('Seaborne Supply'!L26=0,0,('FOB Cost'!L26/(1-Assumptions!$E26/100)+'Freight to Qingdao'!L30)/(1-Assumptions!$D26/100))</f>
        <v>34.262326503635158</v>
      </c>
      <c r="M27" s="33">
        <f>IF('Seaborne Supply'!M26=0,0,('FOB Cost'!M26/(1-Assumptions!$E26/100)+'Freight to Qingdao'!M30)/(1-Assumptions!$D26/100))</f>
        <v>33.563714474553869</v>
      </c>
      <c r="N27" s="33">
        <f>IF('Seaborne Supply'!N26=0,0,('FOB Cost'!N26/(1-Assumptions!$E26/100)+'Freight to Qingdao'!N30)/(1-Assumptions!$D26/100))</f>
        <v>42.227164573694651</v>
      </c>
      <c r="O27" s="33">
        <f>IF('Seaborne Supply'!O26=0,0,('FOB Cost'!O26/(1-Assumptions!$E26/100)+'Freight to Qingdao'!O30)/(1-Assumptions!$D26/100))</f>
        <v>41.218968935888959</v>
      </c>
      <c r="P27" s="33">
        <f>IF('Seaborne Supply'!P26=0,0,('FOB Cost'!P26/(1-Assumptions!$E26/100)+'Freight to Qingdao'!P30)/(1-Assumptions!$D26/100))</f>
        <v>40.248446794448114</v>
      </c>
      <c r="Q27" s="33">
        <f>IF('Seaborne Supply'!Q26=0,0,('FOB Cost'!Q26/(1-Assumptions!$E26/100)+'Freight to Qingdao'!Q30)/(1-Assumptions!$D26/100))</f>
        <v>42.812756113681424</v>
      </c>
      <c r="R27" s="33">
        <f>IF('Seaborne Supply'!R26=0,0,('FOB Cost'!R26/(1-Assumptions!$E26/100)+'Freight to Qingdao'!R30)/(1-Assumptions!$D26/100))</f>
        <v>41.453205551883677</v>
      </c>
      <c r="S27" s="33">
        <f>IF('Seaborne Supply'!S26=0,0,('FOB Cost'!S26/(1-Assumptions!$E26/100)+'Freight to Qingdao'!S30)/(1-Assumptions!$D26/100))</f>
        <v>46.604428288169196</v>
      </c>
      <c r="T27" s="33">
        <f>IF('Seaborne Supply'!T26=0,0,('FOB Cost'!T26/(1-Assumptions!$E26/100)+'Freight to Qingdao'!T30)/(1-Assumptions!$D26/100))</f>
        <v>44.954130865829477</v>
      </c>
      <c r="U27" s="33">
        <f>IF('Seaborne Supply'!U26=0,0,('FOB Cost'!U26/(1-Assumptions!$E26/100)+'Freight to Qingdao'!U30)/(1-Assumptions!$D26/100))</f>
        <v>44.667151354923995</v>
      </c>
      <c r="V27" s="33">
        <f>IF('Seaborne Supply'!V26=0,0,('FOB Cost'!V26/(1-Assumptions!$E26/100)+'Freight to Qingdao'!V30)/(1-Assumptions!$D26/100))</f>
        <v>44.784269662921353</v>
      </c>
      <c r="W27" s="33">
        <f>IF('Seaborne Supply'!W26=0,0,('FOB Cost'!W26/(1-Assumptions!$E26/100)+'Freight to Qingdao'!W30)/(1-Assumptions!$D26/100))</f>
        <v>45.717118307997353</v>
      </c>
      <c r="X27" s="33">
        <f>IF('Seaborne Supply'!X26=0,0,('FOB Cost'!X26/(1-Assumptions!$E26/100)+'Freight to Qingdao'!X30)/(1-Assumptions!$D26/100))</f>
        <v>46.649966953073367</v>
      </c>
      <c r="Y27" s="33">
        <f>IF('Seaborne Supply'!Y26=0,0,('FOB Cost'!Y26/(1-Assumptions!$E26/100)+'Freight to Qingdao'!Y30)/(1-Assumptions!$D26/100))</f>
        <v>47.450627891606075</v>
      </c>
      <c r="Z27" s="33">
        <f>IF('Seaborne Supply'!Z26=0,0,('FOB Cost'!Z26/(1-Assumptions!$E26/100)+'Freight to Qingdao'!Z30)/(1-Assumptions!$D26/100))</f>
        <v>48.51566424322538</v>
      </c>
      <c r="AA27" s="33">
        <f>IF('Seaborne Supply'!AA26=0,0,('FOB Cost'!AA26/(1-Assumptions!$E26/100)+'Freight to Qingdao'!AA30)/(1-Assumptions!$D26/100))</f>
        <v>49.448512888301387</v>
      </c>
      <c r="AB27" s="33">
        <f>IF('Seaborne Supply'!AB26=0,0,('FOB Cost'!AB26/(1-Assumptions!$E26/100)+'Freight to Qingdao'!AB30)/(1-Assumptions!$D26/100))</f>
        <v>50.381361533377401</v>
      </c>
    </row>
    <row r="28" spans="1:28" x14ac:dyDescent="0.2">
      <c r="A28" s="7" t="s">
        <v>156</v>
      </c>
      <c r="B28" s="7"/>
      <c r="C28" s="33">
        <f>IF('Seaborne Supply'!C27=0,0,('FOB Cost'!C27/(1-Assumptions!$E27/100)+'Freight to Qingdao'!C31)/(1-Assumptions!$D27/100))</f>
        <v>76.373401534526849</v>
      </c>
      <c r="D28" s="33">
        <f>IF('Seaborne Supply'!D27=0,0,('FOB Cost'!D27/(1-Assumptions!$E27/100)+'Freight to Qingdao'!D31)/(1-Assumptions!$D27/100))</f>
        <v>79.934143222506393</v>
      </c>
      <c r="E28" s="33">
        <f>IF('Seaborne Supply'!E27=0,0,('FOB Cost'!E27/(1-Assumptions!$E27/100)+'Freight to Qingdao'!E31)/(1-Assumptions!$D27/100))</f>
        <v>83.494884910485922</v>
      </c>
      <c r="F28" s="33">
        <f>IF('Seaborne Supply'!F27=0,0,('FOB Cost'!F27/(1-Assumptions!$E27/100)+'Freight to Qingdao'!F31)/(1-Assumptions!$D27/100))</f>
        <v>84.690537084398983</v>
      </c>
      <c r="G28" s="33">
        <f>IF('Seaborne Supply'!G27=0,0,('FOB Cost'!G27/(1-Assumptions!$E27/100)+'Freight to Qingdao'!G31)/(1-Assumptions!$D27/100))</f>
        <v>81.296035805626602</v>
      </c>
      <c r="H28" s="33">
        <f>IF('Seaborne Supply'!H27=0,0,('FOB Cost'!H27/(1-Assumptions!$E27/100)+'Freight to Qingdao'!H31)/(1-Assumptions!$D27/100))</f>
        <v>76.191176470588232</v>
      </c>
      <c r="I28" s="33">
        <f>IF('Seaborne Supply'!I27=0,0,('FOB Cost'!I27/(1-Assumptions!$E27/100)+'Freight to Qingdao'!I31)/(1-Assumptions!$D27/100))</f>
        <v>74.434143222506393</v>
      </c>
      <c r="J28" s="33">
        <f>IF('Seaborne Supply'!J27=0,0,('FOB Cost'!J27/(1-Assumptions!$E27/100)+'Freight to Qingdao'!J31)/(1-Assumptions!$D27/100))</f>
        <v>75.905370843989758</v>
      </c>
      <c r="K28" s="33">
        <f>IF('Seaborne Supply'!K27=0,0,('FOB Cost'!K27/(1-Assumptions!$E27/100)+'Freight to Qingdao'!K31)/(1-Assumptions!$D27/100))</f>
        <v>75.583120204603574</v>
      </c>
      <c r="L28" s="33">
        <f>IF('Seaborne Supply'!L27=0,0,('FOB Cost'!L27/(1-Assumptions!$E27/100)+'Freight to Qingdao'!L31)/(1-Assumptions!$D27/100))</f>
        <v>73.14514066496163</v>
      </c>
      <c r="M28" s="33">
        <f>IF('Seaborne Supply'!M27=0,0,('FOB Cost'!M27/(1-Assumptions!$E27/100)+'Freight to Qingdao'!M31)/(1-Assumptions!$D27/100))</f>
        <v>69.391943734015342</v>
      </c>
      <c r="N28" s="33">
        <f>IF('Seaborne Supply'!N27=0,0,('FOB Cost'!N27/(1-Assumptions!$E27/100)+'Freight to Qingdao'!N31)/(1-Assumptions!$D27/100))</f>
        <v>80.963554987212277</v>
      </c>
      <c r="O28" s="33">
        <f>IF('Seaborne Supply'!O27=0,0,('FOB Cost'!O27/(1-Assumptions!$E27/100)+'Freight to Qingdao'!O31)/(1-Assumptions!$D27/100))</f>
        <v>0</v>
      </c>
      <c r="P28" s="33">
        <f>IF('Seaborne Supply'!P27=0,0,('FOB Cost'!P27/(1-Assumptions!$E27/100)+'Freight to Qingdao'!P31)/(1-Assumptions!$D27/100))</f>
        <v>0</v>
      </c>
      <c r="Q28" s="33">
        <f>IF('Seaborne Supply'!Q27=0,0,('FOB Cost'!Q27/(1-Assumptions!$E27/100)+'Freight to Qingdao'!Q31)/(1-Assumptions!$D27/100))</f>
        <v>0</v>
      </c>
      <c r="R28" s="33">
        <f>IF('Seaborne Supply'!R27=0,0,('FOB Cost'!R27/(1-Assumptions!$E27/100)+'Freight to Qingdao'!R31)/(1-Assumptions!$D27/100))</f>
        <v>74.81905370843991</v>
      </c>
      <c r="S28" s="33">
        <f>IF('Seaborne Supply'!S27=0,0,('FOB Cost'!S27/(1-Assumptions!$E27/100)+'Freight to Qingdao'!S31)/(1-Assumptions!$D27/100))</f>
        <v>80.16304347826086</v>
      </c>
      <c r="T28" s="33">
        <f>IF('Seaborne Supply'!T27=0,0,('FOB Cost'!T27/(1-Assumptions!$E27/100)+'Freight to Qingdao'!T31)/(1-Assumptions!$D27/100))</f>
        <v>79.409207161125323</v>
      </c>
      <c r="U28" s="33">
        <f>IF('Seaborne Supply'!U27=0,0,('FOB Cost'!U27/(1-Assumptions!$E27/100)+'Freight to Qingdao'!U31)/(1-Assumptions!$D27/100))</f>
        <v>80.098465473145794</v>
      </c>
      <c r="V28" s="33">
        <f>IF('Seaborne Supply'!V27=0,0,('FOB Cost'!V27/(1-Assumptions!$E27/100)+'Freight to Qingdao'!V31)/(1-Assumptions!$D27/100))</f>
        <v>80.898976982097196</v>
      </c>
      <c r="W28" s="33">
        <f>IF('Seaborne Supply'!W27=0,0,('FOB Cost'!W27/(1-Assumptions!$E27/100)+'Freight to Qingdao'!W31)/(1-Assumptions!$D27/100))</f>
        <v>82.544757033248089</v>
      </c>
      <c r="X28" s="33">
        <f>IF('Seaborne Supply'!X27=0,0,('FOB Cost'!X27/(1-Assumptions!$E27/100)+'Freight to Qingdao'!X31)/(1-Assumptions!$D27/100))</f>
        <v>84.190537084398969</v>
      </c>
      <c r="Y28" s="33">
        <f>IF('Seaborne Supply'!Y27=0,0,('FOB Cost'!Y27/(1-Assumptions!$E27/100)+'Freight to Qingdao'!Y31)/(1-Assumptions!$D27/100))</f>
        <v>85.836317135549862</v>
      </c>
      <c r="Z28" s="33">
        <f>IF('Seaborne Supply'!Z27=0,0,('FOB Cost'!Z27/(1-Assumptions!$E27/100)+'Freight to Qingdao'!Z31)/(1-Assumptions!$D27/100))</f>
        <v>87.609974424552419</v>
      </c>
      <c r="AA28" s="33">
        <f>IF('Seaborne Supply'!AA27=0,0,('FOB Cost'!AA27/(1-Assumptions!$E27/100)+'Freight to Qingdao'!AA31)/(1-Assumptions!$D27/100))</f>
        <v>89.383631713554976</v>
      </c>
      <c r="AB28" s="33">
        <f>IF('Seaborne Supply'!AB27=0,0,('FOB Cost'!AB27/(1-Assumptions!$E27/100)+'Freight to Qingdao'!AB31)/(1-Assumptions!$D27/100))</f>
        <v>91.157289002557548</v>
      </c>
    </row>
    <row r="29" spans="1:28" x14ac:dyDescent="0.2">
      <c r="A29" s="7" t="s">
        <v>159</v>
      </c>
      <c r="B29" s="7"/>
      <c r="C29" s="33">
        <f>IF('Seaborne Supply'!C28=0,0,('FOB Cost'!C28/(1-Assumptions!$E28/100)+'Freight to Qingdao'!C32)/(1-Assumptions!$D28/100))</f>
        <v>50.225024374390642</v>
      </c>
      <c r="D29" s="33">
        <f>IF('Seaborne Supply'!D28=0,0,('FOB Cost'!D28/(1-Assumptions!$E28/100)+'Freight to Qingdao'!D32)/(1-Assumptions!$D28/100))</f>
        <v>51.259213519662005</v>
      </c>
      <c r="E29" s="33">
        <f>IF('Seaborne Supply'!E28=0,0,('FOB Cost'!E28/(1-Assumptions!$E28/100)+'Freight to Qingdao'!E32)/(1-Assumptions!$D28/100))</f>
        <v>50.993435164120896</v>
      </c>
      <c r="F29" s="33">
        <f>IF('Seaborne Supply'!F28=0,0,('FOB Cost'!F28/(1-Assumptions!$E28/100)+'Freight to Qingdao'!F32)/(1-Assumptions!$D28/100))</f>
        <v>50.897887552811177</v>
      </c>
      <c r="G29" s="33">
        <f>IF('Seaborne Supply'!G28=0,0,('FOB Cost'!G28/(1-Assumptions!$E28/100)+'Freight to Qingdao'!G32)/(1-Assumptions!$D28/100))</f>
        <v>47.454858628534282</v>
      </c>
      <c r="H29" s="33">
        <f>IF('Seaborne Supply'!H28=0,0,('FOB Cost'!H28/(1-Assumptions!$E28/100)+'Freight to Qingdao'!H32)/(1-Assumptions!$D28/100))</f>
        <v>39.700812479688004</v>
      </c>
      <c r="I29" s="33">
        <f>IF('Seaborne Supply'!I28=0,0,('FOB Cost'!I28/(1-Assumptions!$E28/100)+'Freight to Qingdao'!I32)/(1-Assumptions!$D28/100))</f>
        <v>0</v>
      </c>
      <c r="J29" s="33">
        <f>IF('Seaborne Supply'!J28=0,0,('FOB Cost'!J28/(1-Assumptions!$E28/100)+'Freight to Qingdao'!J32)/(1-Assumptions!$D28/100))</f>
        <v>39.389275268118297</v>
      </c>
      <c r="K29" s="33">
        <f>IF('Seaborne Supply'!K28=0,0,('FOB Cost'!K28/(1-Assumptions!$E28/100)+'Freight to Qingdao'!K32)/(1-Assumptions!$D28/100))</f>
        <v>41.65277868053299</v>
      </c>
      <c r="L29" s="33">
        <f>IF('Seaborne Supply'!L28=0,0,('FOB Cost'!L28/(1-Assumptions!$E28/100)+'Freight to Qingdao'!L32)/(1-Assumptions!$D28/100))</f>
        <v>43.073188170295751</v>
      </c>
      <c r="M29" s="33">
        <f>IF('Seaborne Supply'!M28=0,0,('FOB Cost'!M28/(1-Assumptions!$E28/100)+'Freight to Qingdao'!M32)/(1-Assumptions!$D28/100))</f>
        <v>40.568800779980506</v>
      </c>
      <c r="N29" s="33">
        <f>IF('Seaborne Supply'!N28=0,0,('FOB Cost'!N28/(1-Assumptions!$E28/100)+'Freight to Qingdao'!N32)/(1-Assumptions!$D28/100))</f>
        <v>50.972570685732862</v>
      </c>
      <c r="O29" s="33">
        <f>IF('Seaborne Supply'!O28=0,0,('FOB Cost'!O28/(1-Assumptions!$E28/100)+'Freight to Qingdao'!O32)/(1-Assumptions!$D28/100))</f>
        <v>52.222749431264212</v>
      </c>
      <c r="P29" s="33">
        <f>IF('Seaborne Supply'!P28=0,0,('FOB Cost'!P28/(1-Assumptions!$E28/100)+'Freight to Qingdao'!P32)/(1-Assumptions!$D28/100))</f>
        <v>49.47747806304843</v>
      </c>
      <c r="Q29" s="33">
        <f>IF('Seaborne Supply'!Q28=0,0,('FOB Cost'!Q28/(1-Assumptions!$E28/100)+'Freight to Qingdao'!Q32)/(1-Assumptions!$D28/100))</f>
        <v>49.863698407539808</v>
      </c>
      <c r="R29" s="33">
        <f>IF('Seaborne Supply'!R28=0,0,('FOB Cost'!R28/(1-Assumptions!$E28/100)+'Freight to Qingdao'!R32)/(1-Assumptions!$D28/100))</f>
        <v>49.309262268443284</v>
      </c>
      <c r="S29" s="33">
        <f>IF('Seaborne Supply'!S28=0,0,('FOB Cost'!S28/(1-Assumptions!$E28/100)+'Freight to Qingdao'!S32)/(1-Assumptions!$D28/100))</f>
        <v>54.184270393240169</v>
      </c>
      <c r="T29" s="33">
        <f>IF('Seaborne Supply'!T28=0,0,('FOB Cost'!T28/(1-Assumptions!$E28/100)+'Freight to Qingdao'!T32)/(1-Assumptions!$D28/100))</f>
        <v>52.916737081572954</v>
      </c>
      <c r="U29" s="33">
        <f>IF('Seaborne Supply'!U28=0,0,('FOB Cost'!U28/(1-Assumptions!$E28/100)+'Freight to Qingdao'!U32)/(1-Assumptions!$D28/100))</f>
        <v>52.974065648358795</v>
      </c>
      <c r="V29" s="33">
        <f>IF('Seaborne Supply'!V28=0,0,('FOB Cost'!V28/(1-Assumptions!$E28/100)+'Freight to Qingdao'!V32)/(1-Assumptions!$D28/100))</f>
        <v>53.272278193045175</v>
      </c>
      <c r="W29" s="33">
        <f>IF('Seaborne Supply'!W28=0,0,('FOB Cost'!W28/(1-Assumptions!$E28/100)+'Freight to Qingdao'!W32)/(1-Assumptions!$D28/100))</f>
        <v>54.293142671433209</v>
      </c>
      <c r="X29" s="33">
        <f>IF('Seaborne Supply'!X28=0,0,('FOB Cost'!X28/(1-Assumptions!$E28/100)+'Freight to Qingdao'!X32)/(1-Assumptions!$D28/100))</f>
        <v>55.444003899902505</v>
      </c>
      <c r="Y29" s="33">
        <f>IF('Seaborne Supply'!Y28=0,0,('FOB Cost'!Y28/(1-Assumptions!$E28/100)+'Freight to Qingdao'!Y32)/(1-Assumptions!$D28/100))</f>
        <v>56.464868378290539</v>
      </c>
      <c r="Z29" s="33">
        <f>IF('Seaborne Supply'!Z28=0,0,('FOB Cost'!Z28/(1-Assumptions!$E28/100)+'Freight to Qingdao'!Z32)/(1-Assumptions!$D28/100))</f>
        <v>57.615729606759828</v>
      </c>
      <c r="AA29" s="33">
        <f>IF('Seaborne Supply'!AA28=0,0,('FOB Cost'!AA28/(1-Assumptions!$E28/100)+'Freight to Qingdao'!AA32)/(1-Assumptions!$D28/100))</f>
        <v>58.766590835229117</v>
      </c>
      <c r="AB29" s="33">
        <f>IF('Seaborne Supply'!AB28=0,0,('FOB Cost'!AB28/(1-Assumptions!$E28/100)+'Freight to Qingdao'!AB32)/(1-Assumptions!$D28/100))</f>
        <v>59.917452063698406</v>
      </c>
    </row>
    <row r="30" spans="1:28" x14ac:dyDescent="0.2">
      <c r="A30" s="7" t="s">
        <v>285</v>
      </c>
      <c r="B30" s="7"/>
      <c r="C30" s="33">
        <f>IF('Seaborne Supply'!C29=0,0,('FOB Cost'!C29/(1-Assumptions!$E29/100)+'Freight to Qingdao'!C33)/(1-Assumptions!$D29/100))</f>
        <v>67.09954954954955</v>
      </c>
      <c r="D30" s="33">
        <f>IF('Seaborne Supply'!D29=0,0,('FOB Cost'!D29/(1-Assumptions!$E29/100)+'Freight to Qingdao'!D33)/(1-Assumptions!$D29/100))</f>
        <v>66.03192567567568</v>
      </c>
      <c r="E30" s="33">
        <f>IF('Seaborne Supply'!E29=0,0,('FOB Cost'!E29/(1-Assumptions!$E29/100)+'Freight to Qingdao'!E33)/(1-Assumptions!$D29/100))</f>
        <v>61.585923423423424</v>
      </c>
      <c r="F30" s="33">
        <f>IF('Seaborne Supply'!F29=0,0,('FOB Cost'!F29/(1-Assumptions!$E29/100)+'Freight to Qingdao'!F33)/(1-Assumptions!$D29/100))</f>
        <v>64.399549549549548</v>
      </c>
      <c r="G30" s="33">
        <f>IF('Seaborne Supply'!G29=0,0,('FOB Cost'!G29/(1-Assumptions!$E29/100)+'Freight to Qingdao'!G33)/(1-Assumptions!$D29/100))</f>
        <v>64.34442567567568</v>
      </c>
      <c r="H30" s="33">
        <f>IF('Seaborne Supply'!H29=0,0,('FOB Cost'!H29/(1-Assumptions!$E29/100)+'Freight to Qingdao'!H33)/(1-Assumptions!$D29/100))</f>
        <v>60.070551801801805</v>
      </c>
      <c r="I30" s="33">
        <f>IF('Seaborne Supply'!I29=0,0,('FOB Cost'!I29/(1-Assumptions!$E29/100)+'Freight to Qingdao'!I33)/(1-Assumptions!$D29/100))</f>
        <v>60.521677927927925</v>
      </c>
      <c r="J30" s="33">
        <f>IF('Seaborne Supply'!J29=0,0,('FOB Cost'!J29/(1-Assumptions!$E29/100)+'Freight to Qingdao'!J33)/(1-Assumptions!$D29/100))</f>
        <v>63.276801801801795</v>
      </c>
      <c r="K30" s="33">
        <f>IF('Seaborne Supply'!K29=0,0,('FOB Cost'!K29/(1-Assumptions!$E29/100)+'Freight to Qingdao'!K33)/(1-Assumptions!$D29/100))</f>
        <v>62.374549549549549</v>
      </c>
      <c r="L30" s="33">
        <f>IF('Seaborne Supply'!L29=0,0,('FOB Cost'!L29/(1-Assumptions!$E29/100)+'Freight to Qingdao'!L33)/(1-Assumptions!$D29/100))</f>
        <v>61.417173423423428</v>
      </c>
      <c r="M30" s="33">
        <f>IF('Seaborne Supply'!M29=0,0,('FOB Cost'!M29/(1-Assumptions!$E29/100)+'Freight to Qingdao'!M33)/(1-Assumptions!$D29/100))</f>
        <v>0</v>
      </c>
      <c r="N30" s="33">
        <f>IF('Seaborne Supply'!N29=0,0,('FOB Cost'!N29/(1-Assumptions!$E29/100)+'Freight to Qingdao'!N33)/(1-Assumptions!$D29/100))</f>
        <v>71.09442567567568</v>
      </c>
      <c r="O30" s="33">
        <f>IF('Seaborne Supply'!O29=0,0,('FOB Cost'!O29/(1-Assumptions!$E29/100)+'Freight to Qingdao'!O33)/(1-Assumptions!$D29/100))</f>
        <v>70.760304054054046</v>
      </c>
      <c r="P30" s="33">
        <f>IF('Seaborne Supply'!P29=0,0,('FOB Cost'!P29/(1-Assumptions!$E29/100)+'Freight to Qingdao'!P33)/(1-Assumptions!$D29/100))</f>
        <v>72.113682432432427</v>
      </c>
      <c r="Q30" s="33">
        <f>IF('Seaborne Supply'!Q29=0,0,('FOB Cost'!Q29/(1-Assumptions!$E29/100)+'Freight to Qingdao'!Q33)/(1-Assumptions!$D29/100))</f>
        <v>72.223930180180176</v>
      </c>
      <c r="R30" s="33">
        <f>IF('Seaborne Supply'!R29=0,0,('FOB Cost'!R29/(1-Assumptions!$E29/100)+'Freight to Qingdao'!R33)/(1-Assumptions!$D29/100))</f>
        <v>71.662556306306314</v>
      </c>
      <c r="S30" s="33">
        <f>IF('Seaborne Supply'!S29=0,0,('FOB Cost'!S29/(1-Assumptions!$E29/100)+'Freight to Qingdao'!S33)/(1-Assumptions!$D29/100))</f>
        <v>77.400056306306297</v>
      </c>
      <c r="T30" s="33">
        <f>IF('Seaborne Supply'!T29=0,0,('FOB Cost'!T29/(1-Assumptions!$E29/100)+'Freight to Qingdao'!T33)/(1-Assumptions!$D29/100))</f>
        <v>73.405180180180182</v>
      </c>
      <c r="U30" s="33">
        <f>IF('Seaborne Supply'!U29=0,0,('FOB Cost'!U29/(1-Assumptions!$E29/100)+'Freight to Qingdao'!U33)/(1-Assumptions!$D29/100))</f>
        <v>71.266554054054055</v>
      </c>
      <c r="V30" s="33">
        <f>IF('Seaborne Supply'!V29=0,0,('FOB Cost'!V29/(1-Assumptions!$E29/100)+'Freight to Qingdao'!V33)/(1-Assumptions!$D29/100))</f>
        <v>70.591554054054058</v>
      </c>
      <c r="W30" s="33">
        <f>IF('Seaborne Supply'!W29=0,0,('FOB Cost'!W29/(1-Assumptions!$E29/100)+'Freight to Qingdao'!W33)/(1-Assumptions!$D29/100))</f>
        <v>72.055180180180187</v>
      </c>
      <c r="X30" s="33">
        <f>IF('Seaborne Supply'!X29=0,0,('FOB Cost'!X29/(1-Assumptions!$E29/100)+'Freight to Qingdao'!X33)/(1-Assumptions!$D29/100))</f>
        <v>73.518806306306303</v>
      </c>
      <c r="Y30" s="33">
        <f>IF('Seaborne Supply'!Y29=0,0,('FOB Cost'!Y29/(1-Assumptions!$E29/100)+'Freight to Qingdao'!Y33)/(1-Assumptions!$D29/100))</f>
        <v>74.982432432432432</v>
      </c>
      <c r="Z30" s="33">
        <f>IF('Seaborne Supply'!Z29=0,0,('FOB Cost'!Z29/(1-Assumptions!$E29/100)+'Freight to Qingdao'!Z33)/(1-Assumptions!$D29/100))</f>
        <v>76.446058558558548</v>
      </c>
      <c r="AA30" s="33">
        <f>IF('Seaborne Supply'!AA29=0,0,('FOB Cost'!AA29/(1-Assumptions!$E29/100)+'Freight to Qingdao'!AA33)/(1-Assumptions!$D29/100))</f>
        <v>77.909684684684692</v>
      </c>
      <c r="AB30" s="33">
        <f>IF('Seaborne Supply'!AB29=0,0,('FOB Cost'!AB29/(1-Assumptions!$E29/100)+'Freight to Qingdao'!AB33)/(1-Assumptions!$D29/100))</f>
        <v>79.485923423423415</v>
      </c>
    </row>
    <row r="31" spans="1:28" x14ac:dyDescent="0.2">
      <c r="A31" s="7" t="s">
        <v>267</v>
      </c>
      <c r="B31" s="7"/>
      <c r="C31" s="33">
        <f>IF('Seaborne Supply'!C30=0,0,('FOB Cost'!C30/(1-Assumptions!$E30/100)+'Freight to Qingdao'!C34)/(1-Assumptions!$D30/100))</f>
        <v>0</v>
      </c>
      <c r="D31" s="33">
        <f>IF('Seaborne Supply'!D30=0,0,('FOB Cost'!D30/(1-Assumptions!$E30/100)+'Freight to Qingdao'!D34)/(1-Assumptions!$D30/100))</f>
        <v>0</v>
      </c>
      <c r="E31" s="33">
        <f>IF('Seaborne Supply'!E30=0,0,('FOB Cost'!E30/(1-Assumptions!$E30/100)+'Freight to Qingdao'!E34)/(1-Assumptions!$D30/100))</f>
        <v>0</v>
      </c>
      <c r="F31" s="33">
        <f>IF('Seaborne Supply'!F30=0,0,('FOB Cost'!F30/(1-Assumptions!$E30/100)+'Freight to Qingdao'!F34)/(1-Assumptions!$D30/100))</f>
        <v>0</v>
      </c>
      <c r="G31" s="33">
        <f>IF('Seaborne Supply'!G30=0,0,('FOB Cost'!G30/(1-Assumptions!$E30/100)+'Freight to Qingdao'!G34)/(1-Assumptions!$D30/100))</f>
        <v>0</v>
      </c>
      <c r="H31" s="33">
        <f>IF('Seaborne Supply'!H30=0,0,('FOB Cost'!H30/(1-Assumptions!$E30/100)+'Freight to Qingdao'!H34)/(1-Assumptions!$D30/100))</f>
        <v>0</v>
      </c>
      <c r="I31" s="33">
        <f>IF('Seaborne Supply'!I30=0,0,('FOB Cost'!I30/(1-Assumptions!$E30/100)+'Freight to Qingdao'!I34)/(1-Assumptions!$D30/100))</f>
        <v>72.561744064506499</v>
      </c>
      <c r="J31" s="33">
        <f>IF('Seaborne Supply'!J30=0,0,('FOB Cost'!J30/(1-Assumptions!$E30/100)+'Freight to Qingdao'!J34)/(1-Assumptions!$D30/100))</f>
        <v>73.0951769449007</v>
      </c>
      <c r="K31" s="33">
        <f>IF('Seaborne Supply'!K30=0,0,('FOB Cost'!K30/(1-Assumptions!$E30/100)+'Freight to Qingdao'!K34)/(1-Assumptions!$D30/100))</f>
        <v>72.138091682843054</v>
      </c>
      <c r="L31" s="33">
        <f>IF('Seaborne Supply'!L30=0,0,('FOB Cost'!L30/(1-Assumptions!$E30/100)+'Freight to Qingdao'!L34)/(1-Assumptions!$D30/100))</f>
        <v>71.122532477228603</v>
      </c>
      <c r="M31" s="33">
        <f>IF('Seaborne Supply'!M30=0,0,('FOB Cost'!M30/(1-Assumptions!$E30/100)+'Freight to Qingdao'!M34)/(1-Assumptions!$D30/100))</f>
        <v>69.332477228609818</v>
      </c>
      <c r="N31" s="33">
        <f>IF('Seaborne Supply'!N30=0,0,('FOB Cost'!N30/(1-Assumptions!$E30/100)+'Freight to Qingdao'!N34)/(1-Assumptions!$D30/100))</f>
        <v>81.38790503210393</v>
      </c>
      <c r="O31" s="33">
        <f>IF('Seaborne Supply'!O30=0,0,('FOB Cost'!O30/(1-Assumptions!$E30/100)+'Freight to Qingdao'!O34)/(1-Assumptions!$D30/100))</f>
        <v>81.033477676571593</v>
      </c>
      <c r="P31" s="33">
        <f>IF('Seaborne Supply'!P30=0,0,('FOB Cost'!P30/(1-Assumptions!$E30/100)+'Freight to Qingdao'!P34)/(1-Assumptions!$D30/100))</f>
        <v>82.469105569658055</v>
      </c>
      <c r="Q31" s="33">
        <f>IF('Seaborne Supply'!Q30=0,0,('FOB Cost'!Q30/(1-Assumptions!$E30/100)+'Freight to Qingdao'!Q34)/(1-Assumptions!$D30/100))</f>
        <v>81.391488726295336</v>
      </c>
      <c r="R31" s="33">
        <f>IF('Seaborne Supply'!R30=0,0,('FOB Cost'!R30/(1-Assumptions!$E30/100)+'Freight to Qingdao'!R34)/(1-Assumptions!$D30/100))</f>
        <v>80.795998208152895</v>
      </c>
      <c r="S31" s="33">
        <f>IF('Seaborne Supply'!S30=0,0,('FOB Cost'!S30/(1-Assumptions!$E30/100)+'Freight to Qingdao'!S34)/(1-Assumptions!$D30/100))</f>
        <v>86.882186053456778</v>
      </c>
      <c r="T31" s="33">
        <f>IF('Seaborne Supply'!T30=0,0,('FOB Cost'!T30/(1-Assumptions!$E30/100)+'Freight to Qingdao'!T34)/(1-Assumptions!$D30/100))</f>
        <v>82.644527400328499</v>
      </c>
      <c r="U31" s="33">
        <f>IF('Seaborne Supply'!U30=0,0,('FOB Cost'!U30/(1-Assumptions!$E30/100)+'Freight to Qingdao'!U34)/(1-Assumptions!$D30/100))</f>
        <v>80.375929520680899</v>
      </c>
      <c r="V31" s="33">
        <f>IF('Seaborne Supply'!V30=0,0,('FOB Cost'!V30/(1-Assumptions!$E30/100)+'Freight to Qingdao'!V34)/(1-Assumptions!$D30/100))</f>
        <v>79.659907421233385</v>
      </c>
      <c r="W31" s="33">
        <f>IF('Seaborne Supply'!W30=0,0,('FOB Cost'!W30/(1-Assumptions!$E30/100)+'Freight to Qingdao'!W34)/(1-Assumptions!$D30/100))</f>
        <v>81.212483201433471</v>
      </c>
      <c r="X31" s="33">
        <f>IF('Seaborne Supply'!X30=0,0,('FOB Cost'!X30/(1-Assumptions!$E30/100)+'Freight to Qingdao'!X34)/(1-Assumptions!$D30/100))</f>
        <v>82.884515454681193</v>
      </c>
      <c r="Y31" s="33">
        <f>IF('Seaborne Supply'!Y30=0,0,('FOB Cost'!Y30/(1-Assumptions!$E30/100)+'Freight to Qingdao'!Y34)/(1-Assumptions!$D30/100))</f>
        <v>84.556547707928928</v>
      </c>
      <c r="Z31" s="33">
        <f>IF('Seaborne Supply'!Z30=0,0,('FOB Cost'!Z30/(1-Assumptions!$E30/100)+'Freight to Qingdao'!Z34)/(1-Assumptions!$D30/100))</f>
        <v>86.228579961176635</v>
      </c>
      <c r="AA31" s="33">
        <f>IF('Seaborne Supply'!AA30=0,0,('FOB Cost'!AA30/(1-Assumptions!$E30/100)+'Freight to Qingdao'!AA34)/(1-Assumptions!$D30/100))</f>
        <v>87.900612214424356</v>
      </c>
      <c r="AB31" s="33">
        <f>IF('Seaborne Supply'!AB30=0,0,('FOB Cost'!AB30/(1-Assumptions!$E30/100)+'Freight to Qingdao'!AB34)/(1-Assumptions!$D30/100))</f>
        <v>89.692100940719712</v>
      </c>
    </row>
    <row r="32" spans="1:28" x14ac:dyDescent="0.2">
      <c r="A32" s="7" t="s">
        <v>170</v>
      </c>
      <c r="B32" s="7"/>
      <c r="C32" s="33">
        <f>IF('Seaborne Supply'!C31=0,0,('FOB Cost'!C31/(1-Assumptions!$E31/100)+'Freight to Qingdao'!C35)/(1-Assumptions!$D31/100))</f>
        <v>74.806437898572725</v>
      </c>
      <c r="D32" s="33">
        <f>IF('Seaborne Supply'!D31=0,0,('FOB Cost'!D31/(1-Assumptions!$E31/100)+'Freight to Qingdao'!D35)/(1-Assumptions!$D31/100))</f>
        <v>73.654843607652595</v>
      </c>
      <c r="E32" s="33">
        <f>IF('Seaborne Supply'!E31=0,0,('FOB Cost'!E31/(1-Assumptions!$E31/100)+'Freight to Qingdao'!E35)/(1-Assumptions!$D31/100))</f>
        <v>68.859155784998478</v>
      </c>
      <c r="F32" s="33">
        <f>IF('Seaborne Supply'!F31=0,0,('FOB Cost'!F31/(1-Assumptions!$E31/100)+'Freight to Qingdao'!F35)/(1-Assumptions!$D31/100))</f>
        <v>71.894078348010922</v>
      </c>
      <c r="G32" s="33">
        <f>IF('Seaborne Supply'!G31=0,0,('FOB Cost'!G31/(1-Assumptions!$E31/100)+'Freight to Qingdao'!G35)/(1-Assumptions!$D31/100))</f>
        <v>71.834618888551461</v>
      </c>
      <c r="H32" s="33">
        <f>IF('Seaborne Supply'!H31=0,0,('FOB Cost'!H31/(1-Assumptions!$E31/100)+'Freight to Qingdao'!H35)/(1-Assumptions!$D31/100))</f>
        <v>67.224597631339208</v>
      </c>
      <c r="I32" s="33">
        <f>IF('Seaborne Supply'!I31=0,0,('FOB Cost'!I31/(1-Assumptions!$E31/100)+'Freight to Qingdao'!I35)/(1-Assumptions!$D31/100))</f>
        <v>67.711205587610081</v>
      </c>
      <c r="J32" s="33">
        <f>IF('Seaborne Supply'!J31=0,0,('FOB Cost'!J31/(1-Assumptions!$E31/100)+'Freight to Qingdao'!J35)/(1-Assumptions!$D31/100))</f>
        <v>70.683024597631331</v>
      </c>
      <c r="K32" s="33">
        <f>IF('Seaborne Supply'!K31=0,0,('FOB Cost'!K31/(1-Assumptions!$E31/100)+'Freight to Qingdao'!K35)/(1-Assumptions!$D31/100))</f>
        <v>69.70980868508957</v>
      </c>
      <c r="L32" s="33">
        <f>IF('Seaborne Supply'!L31=0,0,('FOB Cost'!L31/(1-Assumptions!$E31/100)+'Freight to Qingdao'!L35)/(1-Assumptions!$D31/100))</f>
        <v>68.677133313088376</v>
      </c>
      <c r="M32" s="33">
        <f>IF('Seaborne Supply'!M31=0,0,('FOB Cost'!M31/(1-Assumptions!$E31/100)+'Freight to Qingdao'!M35)/(1-Assumptions!$D31/100))</f>
        <v>0</v>
      </c>
      <c r="N32" s="33">
        <f>IF('Seaborne Supply'!N31=0,0,('FOB Cost'!N31/(1-Assumptions!$E31/100)+'Freight to Qingdao'!N35)/(1-Assumptions!$D31/100))</f>
        <v>0</v>
      </c>
      <c r="O32" s="33">
        <f>IF('Seaborne Supply'!O31=0,0,('FOB Cost'!O31/(1-Assumptions!$E31/100)+'Freight to Qingdao'!O35)/(1-Assumptions!$D31/100))</f>
        <v>0</v>
      </c>
      <c r="P32" s="33">
        <f>IF('Seaborne Supply'!P31=0,0,('FOB Cost'!P31/(1-Assumptions!$E31/100)+'Freight to Qingdao'!P35)/(1-Assumptions!$D31/100))</f>
        <v>0</v>
      </c>
      <c r="Q32" s="33">
        <f>IF('Seaborne Supply'!Q31=0,0,('FOB Cost'!Q31/(1-Assumptions!$E31/100)+'Freight to Qingdao'!Q35)/(1-Assumptions!$D31/100))</f>
        <v>0</v>
      </c>
      <c r="R32" s="33">
        <f>IF('Seaborne Supply'!R31=0,0,('FOB Cost'!R31/(1-Assumptions!$E31/100)+'Freight to Qingdao'!R35)/(1-Assumptions!$D31/100))</f>
        <v>0</v>
      </c>
      <c r="S32" s="33">
        <f>IF('Seaborne Supply'!S31=0,0,('FOB Cost'!S31/(1-Assumptions!$E31/100)+'Freight to Qingdao'!S35)/(1-Assumptions!$D31/100))</f>
        <v>0</v>
      </c>
      <c r="T32" s="33">
        <f>IF('Seaborne Supply'!T31=0,0,('FOB Cost'!T31/(1-Assumptions!$E31/100)+'Freight to Qingdao'!T35)/(1-Assumptions!$D31/100))</f>
        <v>81.608017005769824</v>
      </c>
      <c r="U32" s="33">
        <f>IF('Seaborne Supply'!U31=0,0,('FOB Cost'!U31/(1-Assumptions!$E31/100)+'Freight to Qingdao'!U35)/(1-Assumptions!$D31/100))</f>
        <v>79.301184330397803</v>
      </c>
      <c r="V32" s="33">
        <f>IF('Seaborne Supply'!V31=0,0,('FOB Cost'!V31/(1-Assumptions!$E31/100)+'Freight to Qingdao'!V35)/(1-Assumptions!$D31/100))</f>
        <v>78.573094442757366</v>
      </c>
      <c r="W32" s="33">
        <f>IF('Seaborne Supply'!W31=0,0,('FOB Cost'!W31/(1-Assumptions!$E31/100)+'Freight to Qingdao'!W35)/(1-Assumptions!$D31/100))</f>
        <v>80.151837230488908</v>
      </c>
      <c r="X32" s="33">
        <f>IF('Seaborne Supply'!X31=0,0,('FOB Cost'!X31/(1-Assumptions!$E31/100)+'Freight to Qingdao'!X35)/(1-Assumptions!$D31/100))</f>
        <v>81.730580018220465</v>
      </c>
      <c r="Y32" s="33">
        <f>IF('Seaborne Supply'!Y31=0,0,('FOB Cost'!Y31/(1-Assumptions!$E31/100)+'Freight to Qingdao'!Y35)/(1-Assumptions!$D31/100))</f>
        <v>83.430792590343145</v>
      </c>
      <c r="Z32" s="33">
        <f>IF('Seaborne Supply'!Z31=0,0,('FOB Cost'!Z31/(1-Assumptions!$E31/100)+'Freight to Qingdao'!Z35)/(1-Assumptions!$D31/100))</f>
        <v>85.009535378074702</v>
      </c>
      <c r="AA32" s="33">
        <f>IF('Seaborne Supply'!AA31=0,0,('FOB Cost'!AA31/(1-Assumptions!$E31/100)+'Freight to Qingdao'!AA35)/(1-Assumptions!$D31/100))</f>
        <v>86.709747950197396</v>
      </c>
      <c r="AB32" s="33">
        <f>IF('Seaborne Supply'!AB31=0,0,('FOB Cost'!AB31/(1-Assumptions!$E31/100)+'Freight to Qingdao'!AB35)/(1-Assumptions!$D31/100))</f>
        <v>88.409960522320077</v>
      </c>
    </row>
    <row r="33" spans="1:28" x14ac:dyDescent="0.2">
      <c r="A33" s="7" t="s">
        <v>271</v>
      </c>
      <c r="B33" s="7"/>
      <c r="C33" s="33">
        <f>IF('Seaborne Supply'!C32=0,0,('FOB Cost'!C32/(1-Assumptions!$E32/100)+'Freight to Qingdao'!C36)/(1-Assumptions!$D32/100))</f>
        <v>59.231775421830669</v>
      </c>
      <c r="D33" s="33">
        <f>IF('Seaborne Supply'!D32=0,0,('FOB Cost'!D32/(1-Assumptions!$E32/100)+'Freight to Qingdao'!D36)/(1-Assumptions!$D32/100))</f>
        <v>58.099268329102586</v>
      </c>
      <c r="E33" s="33">
        <f>IF('Seaborne Supply'!E32=0,0,('FOB Cost'!E32/(1-Assumptions!$E32/100)+'Freight to Qingdao'!E36)/(1-Assumptions!$D32/100))</f>
        <v>56.966761236374495</v>
      </c>
      <c r="F33" s="33">
        <f>IF('Seaborne Supply'!F32=0,0,('FOB Cost'!F32/(1-Assumptions!$E32/100)+'Freight to Qingdao'!F36)/(1-Assumptions!$D32/100))</f>
        <v>58.75681648499328</v>
      </c>
      <c r="G33" s="33">
        <f>IF('Seaborne Supply'!G32=0,0,('FOB Cost'!G32/(1-Assumptions!$E32/100)+'Freight to Qingdao'!G36)/(1-Assumptions!$D32/100))</f>
        <v>56.309213080483801</v>
      </c>
      <c r="H33" s="33">
        <f>IF('Seaborne Supply'!H32=0,0,('FOB Cost'!H32/(1-Assumptions!$E32/100)+'Freight to Qingdao'!H36)/(1-Assumptions!$D32/100))</f>
        <v>50.581036284903689</v>
      </c>
      <c r="I33" s="33">
        <f>IF('Seaborne Supply'!I32=0,0,('FOB Cost'!I32/(1-Assumptions!$E32/100)+'Freight to Qingdao'!I36)/(1-Assumptions!$D32/100))</f>
        <v>51.059578915932505</v>
      </c>
      <c r="J33" s="33">
        <f>IF('Seaborne Supply'!J32=0,0,('FOB Cost'!J32/(1-Assumptions!$E32/100)+'Freight to Qingdao'!J36)/(1-Assumptions!$D32/100))</f>
        <v>55.17670598775571</v>
      </c>
      <c r="K33" s="33">
        <f>IF('Seaborne Supply'!K32=0,0,('FOB Cost'!K32/(1-Assumptions!$E32/100)+'Freight to Qingdao'!K36)/(1-Assumptions!$D32/100))</f>
        <v>55.414185456174401</v>
      </c>
      <c r="L33" s="33">
        <f>IF('Seaborne Supply'!L32=0,0,('FOB Cost'!L32/(1-Assumptions!$E32/100)+'Freight to Qingdao'!L36)/(1-Assumptions!$D32/100))</f>
        <v>54.398626250559957</v>
      </c>
      <c r="M33" s="33">
        <f>IF('Seaborne Supply'!M32=0,0,('FOB Cost'!M32/(1-Assumptions!$E32/100)+'Freight to Qingdao'!M36)/(1-Assumptions!$D32/100))</f>
        <v>0</v>
      </c>
      <c r="N33" s="33">
        <f>IF('Seaborne Supply'!N32=0,0,('FOB Cost'!N32/(1-Assumptions!$E32/100)+'Freight to Qingdao'!N36)/(1-Assumptions!$D32/100))</f>
        <v>0</v>
      </c>
      <c r="O33" s="33">
        <f>IF('Seaborne Supply'!O32=0,0,('FOB Cost'!O32/(1-Assumptions!$E32/100)+'Freight to Qingdao'!O36)/(1-Assumptions!$D32/100))</f>
        <v>0</v>
      </c>
      <c r="P33" s="33">
        <f>IF('Seaborne Supply'!P32=0,0,('FOB Cost'!P32/(1-Assumptions!$E32/100)+'Freight to Qingdao'!P36)/(1-Assumptions!$D32/100))</f>
        <v>0</v>
      </c>
      <c r="Q33" s="33">
        <f>IF('Seaborne Supply'!Q32=0,0,('FOB Cost'!Q32/(1-Assumptions!$E32/100)+'Freight to Qingdao'!Q36)/(1-Assumptions!$D32/100))</f>
        <v>0</v>
      </c>
      <c r="R33" s="33">
        <f>IF('Seaborne Supply'!R32=0,0,('FOB Cost'!R32/(1-Assumptions!$E32/100)+'Freight to Qingdao'!R36)/(1-Assumptions!$D32/100))</f>
        <v>0</v>
      </c>
      <c r="S33" s="33">
        <f>IF('Seaborne Supply'!S32=0,0,('FOB Cost'!S32/(1-Assumptions!$E32/100)+'Freight to Qingdao'!S36)/(1-Assumptions!$D32/100))</f>
        <v>0</v>
      </c>
      <c r="T33" s="33">
        <f>IF('Seaborne Supply'!T32=0,0,('FOB Cost'!T32/(1-Assumptions!$E32/100)+'Freight to Qingdao'!T36)/(1-Assumptions!$D32/100))</f>
        <v>0</v>
      </c>
      <c r="U33" s="33">
        <f>IF('Seaborne Supply'!U32=0,0,('FOB Cost'!U32/(1-Assumptions!$E32/100)+'Freight to Qingdao'!U36)/(1-Assumptions!$D32/100))</f>
        <v>0</v>
      </c>
      <c r="V33" s="33">
        <f>IF('Seaborne Supply'!V32=0,0,('FOB Cost'!V32/(1-Assumptions!$E32/100)+'Freight to Qingdao'!V36)/(1-Assumptions!$D32/100))</f>
        <v>0</v>
      </c>
      <c r="W33" s="33">
        <f>IF('Seaborne Supply'!W32=0,0,('FOB Cost'!W32/(1-Assumptions!$E32/100)+'Freight to Qingdao'!W36)/(1-Assumptions!$D32/100))</f>
        <v>0</v>
      </c>
      <c r="X33" s="33">
        <f>IF('Seaborne Supply'!X32=0,0,('FOB Cost'!X32/(1-Assumptions!$E32/100)+'Freight to Qingdao'!X36)/(1-Assumptions!$D32/100))</f>
        <v>0</v>
      </c>
      <c r="Y33" s="33">
        <f>IF('Seaborne Supply'!Y32=0,0,('FOB Cost'!Y32/(1-Assumptions!$E32/100)+'Freight to Qingdao'!Y36)/(1-Assumptions!$D32/100))</f>
        <v>0</v>
      </c>
      <c r="Z33" s="33">
        <f>IF('Seaborne Supply'!Z32=0,0,('FOB Cost'!Z32/(1-Assumptions!$E32/100)+'Freight to Qingdao'!Z36)/(1-Assumptions!$D32/100))</f>
        <v>0</v>
      </c>
      <c r="AA33" s="33">
        <f>IF('Seaborne Supply'!AA32=0,0,('FOB Cost'!AA32/(1-Assumptions!$E32/100)+'Freight to Qingdao'!AA36)/(1-Assumptions!$D32/100))</f>
        <v>0</v>
      </c>
      <c r="AB33" s="33">
        <f>IF('Seaborne Supply'!AB32=0,0,('FOB Cost'!AB32/(1-Assumptions!$E32/100)+'Freight to Qingdao'!AB36)/(1-Assumptions!$D32/100))</f>
        <v>0</v>
      </c>
    </row>
    <row r="34" spans="1:28" x14ac:dyDescent="0.2">
      <c r="A34" s="7" t="s">
        <v>274</v>
      </c>
      <c r="B34" s="7"/>
      <c r="C34" s="33">
        <f>IF('Seaborne Supply'!C33=0,0,('FOB Cost'!C33/(1-Assumptions!$E33/100)+'Freight to Qingdao'!C37)/(1-Assumptions!$D33/100))</f>
        <v>74.35034155034154</v>
      </c>
      <c r="D34" s="33">
        <f>IF('Seaborne Supply'!D33=0,0,('FOB Cost'!D33/(1-Assumptions!$E33/100)+'Freight to Qingdao'!D37)/(1-Assumptions!$D33/100))</f>
        <v>73.224057024057018</v>
      </c>
      <c r="E34" s="33">
        <f>IF('Seaborne Supply'!E33=0,0,('FOB Cost'!E33/(1-Assumptions!$E33/100)+'Freight to Qingdao'!E37)/(1-Assumptions!$D33/100))</f>
        <v>68.533768933768926</v>
      </c>
      <c r="F34" s="33">
        <f>IF('Seaborne Supply'!F33=0,0,('FOB Cost'!F33/(1-Assumptions!$E33/100)+'Freight to Qingdao'!F37)/(1-Assumptions!$D33/100))</f>
        <v>71.501989901989901</v>
      </c>
      <c r="G34" s="33">
        <f>IF('Seaborne Supply'!G33=0,0,('FOB Cost'!G33/(1-Assumptions!$E33/100)+'Freight to Qingdao'!G37)/(1-Assumptions!$D33/100))</f>
        <v>71.443837243837237</v>
      </c>
      <c r="H34" s="33">
        <f>IF('Seaborne Supply'!H33=0,0,('FOB Cost'!H33/(1-Assumptions!$E33/100)+'Freight to Qingdao'!H37)/(1-Assumptions!$D33/100))</f>
        <v>66.935135135135127</v>
      </c>
      <c r="I34" s="33">
        <f>IF('Seaborne Supply'!I33=0,0,('FOB Cost'!I33/(1-Assumptions!$E33/100)+'Freight to Qingdao'!I37)/(1-Assumptions!$D33/100))</f>
        <v>67.411048411048398</v>
      </c>
      <c r="J34" s="33">
        <f>IF('Seaborne Supply'!J33=0,0,('FOB Cost'!J33/(1-Assumptions!$E33/100)+'Freight to Qingdao'!J37)/(1-Assumptions!$D33/100))</f>
        <v>70.317552717552715</v>
      </c>
      <c r="K34" s="33">
        <f>IF('Seaborne Supply'!K33=0,0,('FOB Cost'!K33/(1-Assumptions!$E33/100)+'Freight to Qingdao'!K37)/(1-Assumptions!$D33/100))</f>
        <v>69.365726165726159</v>
      </c>
      <c r="L34" s="33">
        <f>IF('Seaborne Supply'!L33=0,0,('FOB Cost'!L33/(1-Assumptions!$E33/100)+'Freight to Qingdao'!L37)/(1-Assumptions!$D33/100))</f>
        <v>68.355746955746952</v>
      </c>
      <c r="M34" s="33">
        <f>IF('Seaborne Supply'!M33=0,0,('FOB Cost'!M33/(1-Assumptions!$E33/100)+'Freight to Qingdao'!M37)/(1-Assumptions!$D33/100))</f>
        <v>66.575527175527171</v>
      </c>
      <c r="N34" s="33">
        <f>IF('Seaborne Supply'!N33=0,0,('FOB Cost'!N33/(1-Assumptions!$E33/100)+'Freight to Qingdao'!N37)/(1-Assumptions!$D33/100))</f>
        <v>78.564716364716361</v>
      </c>
      <c r="O34" s="33">
        <f>IF('Seaborne Supply'!O33=0,0,('FOB Cost'!O33/(1-Assumptions!$E33/100)+'Freight to Qingdao'!O37)/(1-Assumptions!$D33/100))</f>
        <v>78.212236412236393</v>
      </c>
      <c r="P34" s="33">
        <f>IF('Seaborne Supply'!P33=0,0,('FOB Cost'!P33/(1-Assumptions!$E33/100)+'Freight to Qingdao'!P37)/(1-Assumptions!$D33/100))</f>
        <v>79.639976239976235</v>
      </c>
      <c r="Q34" s="33">
        <f>IF('Seaborne Supply'!Q33=0,0,('FOB Cost'!Q33/(1-Assumptions!$E33/100)+'Freight to Qingdao'!Q37)/(1-Assumptions!$D33/100))</f>
        <v>79.75628155628155</v>
      </c>
      <c r="R34" s="33">
        <f>IF('Seaborne Supply'!R33=0,0,('FOB Cost'!R33/(1-Assumptions!$E33/100)+'Freight to Qingdao'!R37)/(1-Assumptions!$D33/100))</f>
        <v>79.164062964062964</v>
      </c>
      <c r="S34" s="33">
        <f>IF('Seaborne Supply'!S33=0,0,('FOB Cost'!S33/(1-Assumptions!$E33/100)+'Freight to Qingdao'!S37)/(1-Assumptions!$D33/100))</f>
        <v>0</v>
      </c>
      <c r="T34" s="33">
        <f>IF('Seaborne Supply'!T33=0,0,('FOB Cost'!T33/(1-Assumptions!$E33/100)+'Freight to Qingdao'!T37)/(1-Assumptions!$D33/100))</f>
        <v>81.002435402435381</v>
      </c>
      <c r="U34" s="33">
        <f>IF('Seaborne Supply'!U33=0,0,('FOB Cost'!U33/(1-Assumptions!$E33/100)+'Freight to Qingdao'!U37)/(1-Assumptions!$D33/100))</f>
        <v>78.746302346302343</v>
      </c>
      <c r="V34" s="33">
        <f>IF('Seaborne Supply'!V33=0,0,('FOB Cost'!V33/(1-Assumptions!$E33/100)+'Freight to Qingdao'!V37)/(1-Assumptions!$D33/100))</f>
        <v>78.034214434214434</v>
      </c>
      <c r="W34" s="33">
        <f>IF('Seaborne Supply'!W33=0,0,('FOB Cost'!W33/(1-Assumptions!$E33/100)+'Freight to Qingdao'!W37)/(1-Assumptions!$D33/100))</f>
        <v>79.578259578259576</v>
      </c>
      <c r="X34" s="33">
        <f>IF('Seaborne Supply'!X33=0,0,('FOB Cost'!X33/(1-Assumptions!$E33/100)+'Freight to Qingdao'!X37)/(1-Assumptions!$D33/100))</f>
        <v>81.241104841104843</v>
      </c>
      <c r="Y34" s="33">
        <f>IF('Seaborne Supply'!Y33=0,0,('FOB Cost'!Y33/(1-Assumptions!$E33/100)+'Freight to Qingdao'!Y37)/(1-Assumptions!$D33/100))</f>
        <v>82.785149985149985</v>
      </c>
      <c r="Z34" s="33">
        <f>IF('Seaborne Supply'!Z33=0,0,('FOB Cost'!Z33/(1-Assumptions!$E33/100)+'Freight to Qingdao'!Z37)/(1-Assumptions!$D33/100))</f>
        <v>84.447995247995237</v>
      </c>
      <c r="AA34" s="33">
        <f>IF('Seaborne Supply'!AA33=0,0,('FOB Cost'!AA33/(1-Assumptions!$E33/100)+'Freight to Qingdao'!AA37)/(1-Assumptions!$D33/100))</f>
        <v>86.11084051084049</v>
      </c>
      <c r="AB34" s="33">
        <f>IF('Seaborne Supply'!AB33=0,0,('FOB Cost'!AB33/(1-Assumptions!$E33/100)+'Freight to Qingdao'!AB37)/(1-Assumptions!$D33/100))</f>
        <v>87.77368577368577</v>
      </c>
    </row>
    <row r="35" spans="1:28" x14ac:dyDescent="0.2">
      <c r="A35" s="7" t="s">
        <v>276</v>
      </c>
      <c r="B35" s="7"/>
      <c r="C35" s="33">
        <f>IF('Seaborne Supply'!C34=0,0,('FOB Cost'!C34/(1-Assumptions!$E34/100)+'Freight to Qingdao'!C38)/(1-Assumptions!$D34/100))</f>
        <v>0</v>
      </c>
      <c r="D35" s="33">
        <f>IF('Seaborne Supply'!D34=0,0,('FOB Cost'!D34/(1-Assumptions!$E34/100)+'Freight to Qingdao'!D38)/(1-Assumptions!$D34/100))</f>
        <v>0</v>
      </c>
      <c r="E35" s="33">
        <f>IF('Seaborne Supply'!E34=0,0,('FOB Cost'!E34/(1-Assumptions!$E34/100)+'Freight to Qingdao'!E38)/(1-Assumptions!$D34/100))</f>
        <v>0</v>
      </c>
      <c r="F35" s="33">
        <f>IF('Seaborne Supply'!F34=0,0,('FOB Cost'!F34/(1-Assumptions!$E34/100)+'Freight to Qingdao'!F38)/(1-Assumptions!$D34/100))</f>
        <v>0</v>
      </c>
      <c r="G35" s="33">
        <f>IF('Seaborne Supply'!G34=0,0,('FOB Cost'!G34/(1-Assumptions!$E34/100)+'Freight to Qingdao'!G38)/(1-Assumptions!$D34/100))</f>
        <v>0</v>
      </c>
      <c r="H35" s="33">
        <f>IF('Seaborne Supply'!H34=0,0,('FOB Cost'!H34/(1-Assumptions!$E34/100)+'Freight to Qingdao'!H38)/(1-Assumptions!$D34/100))</f>
        <v>0</v>
      </c>
      <c r="I35" s="33">
        <f>IF('Seaborne Supply'!I34=0,0,('FOB Cost'!I34/(1-Assumptions!$E34/100)+'Freight to Qingdao'!I38)/(1-Assumptions!$D34/100))</f>
        <v>0</v>
      </c>
      <c r="J35" s="33">
        <f>IF('Seaborne Supply'!J34=0,0,('FOB Cost'!J34/(1-Assumptions!$E34/100)+'Freight to Qingdao'!J38)/(1-Assumptions!$D34/100))</f>
        <v>0</v>
      </c>
      <c r="K35" s="33">
        <f>IF('Seaborne Supply'!K34=0,0,('FOB Cost'!K34/(1-Assumptions!$E34/100)+'Freight to Qingdao'!K38)/(1-Assumptions!$D34/100))</f>
        <v>67.72046332046331</v>
      </c>
      <c r="L35" s="33">
        <f>IF('Seaborne Supply'!L34=0,0,('FOB Cost'!L34/(1-Assumptions!$E34/100)+'Freight to Qingdao'!L38)/(1-Assumptions!$D34/100))</f>
        <v>66.782625482625477</v>
      </c>
      <c r="M35" s="33">
        <f>IF('Seaborne Supply'!M34=0,0,('FOB Cost'!M34/(1-Assumptions!$E34/100)+'Freight to Qingdao'!M38)/(1-Assumptions!$D34/100))</f>
        <v>0</v>
      </c>
      <c r="N35" s="33">
        <f>IF('Seaborne Supply'!N34=0,0,('FOB Cost'!N34/(1-Assumptions!$E34/100)+'Freight to Qingdao'!N38)/(1-Assumptions!$D34/100))</f>
        <v>76.26238279095422</v>
      </c>
      <c r="O35" s="33">
        <f>IF('Seaborne Supply'!O34=0,0,('FOB Cost'!O34/(1-Assumptions!$E34/100)+'Freight to Qingdao'!O38)/(1-Assumptions!$D34/100))</f>
        <v>75.935079977937121</v>
      </c>
      <c r="P35" s="33">
        <f>IF('Seaborne Supply'!P34=0,0,('FOB Cost'!P34/(1-Assumptions!$E34/100)+'Freight to Qingdao'!P38)/(1-Assumptions!$D34/100))</f>
        <v>77.260838389409827</v>
      </c>
      <c r="Q35" s="33">
        <f>IF('Seaborne Supply'!Q34=0,0,('FOB Cost'!Q34/(1-Assumptions!$E34/100)+'Freight to Qingdao'!Q38)/(1-Assumptions!$D34/100))</f>
        <v>77.3688361831219</v>
      </c>
      <c r="R35" s="33">
        <f>IF('Seaborne Supply'!R34=0,0,('FOB Cost'!R34/(1-Assumptions!$E34/100)+'Freight to Qingdao'!R38)/(1-Assumptions!$D34/100))</f>
        <v>76.818918918918911</v>
      </c>
      <c r="S35" s="33">
        <f>IF('Seaborne Supply'!S34=0,0,('FOB Cost'!S34/(1-Assumptions!$E34/100)+'Freight to Qingdao'!S38)/(1-Assumptions!$D34/100))</f>
        <v>82.439327082184235</v>
      </c>
      <c r="T35" s="33">
        <f>IF('Seaborne Supply'!T34=0,0,('FOB Cost'!T34/(1-Assumptions!$E34/100)+'Freight to Qingdao'!T38)/(1-Assumptions!$D34/100))</f>
        <v>78.525979040264758</v>
      </c>
      <c r="U35" s="33">
        <f>IF('Seaborne Supply'!U34=0,0,('FOB Cost'!U34/(1-Assumptions!$E34/100)+'Freight to Qingdao'!U38)/(1-Assumptions!$D34/100))</f>
        <v>76.430998345284067</v>
      </c>
      <c r="V35" s="33">
        <f>IF('Seaborne Supply'!V34=0,0,('FOB Cost'!V34/(1-Assumptions!$E34/100)+'Freight to Qingdao'!V38)/(1-Assumptions!$D34/100))</f>
        <v>75.76977385548814</v>
      </c>
      <c r="W35" s="33">
        <f>IF('Seaborne Supply'!W34=0,0,('FOB Cost'!W34/(1-Assumptions!$E34/100)+'Freight to Qingdao'!W38)/(1-Assumptions!$D34/100))</f>
        <v>77.313844456701602</v>
      </c>
      <c r="X35" s="33">
        <f>IF('Seaborne Supply'!X34=0,0,('FOB Cost'!X34/(1-Assumptions!$E34/100)+'Freight to Qingdao'!X38)/(1-Assumptions!$D34/100))</f>
        <v>78.857915057915065</v>
      </c>
      <c r="Y35" s="33">
        <f>IF('Seaborne Supply'!Y34=0,0,('FOB Cost'!Y34/(1-Assumptions!$E34/100)+'Freight to Qingdao'!Y38)/(1-Assumptions!$D34/100))</f>
        <v>80.401985659128513</v>
      </c>
      <c r="Z35" s="33">
        <f>IF('Seaborne Supply'!Z34=0,0,('FOB Cost'!Z34/(1-Assumptions!$E34/100)+'Freight to Qingdao'!Z38)/(1-Assumptions!$D34/100))</f>
        <v>82.05637065637066</v>
      </c>
      <c r="AA35" s="33">
        <f>IF('Seaborne Supply'!AA34=0,0,('FOB Cost'!AA34/(1-Assumptions!$E34/100)+'Freight to Qingdao'!AA38)/(1-Assumptions!$D34/100))</f>
        <v>83.600441257584109</v>
      </c>
      <c r="AB35" s="33">
        <f>IF('Seaborne Supply'!AB34=0,0,('FOB Cost'!AB34/(1-Assumptions!$E34/100)+'Freight to Qingdao'!AB38)/(1-Assumptions!$D34/100))</f>
        <v>85.254826254826256</v>
      </c>
    </row>
    <row r="36" spans="1:28" x14ac:dyDescent="0.2">
      <c r="A36" s="7" t="s">
        <v>279</v>
      </c>
      <c r="B36" s="7"/>
      <c r="C36" s="33">
        <f>IF('Seaborne Supply'!C35=0,0,('FOB Cost'!C35/(1-Assumptions!$E35/100)+'Freight to Qingdao'!C39)/(1-Assumptions!$D35/100))</f>
        <v>0</v>
      </c>
      <c r="D36" s="33">
        <f>IF('Seaborne Supply'!D35=0,0,('FOB Cost'!D35/(1-Assumptions!$E35/100)+'Freight to Qingdao'!D39)/(1-Assumptions!$D35/100))</f>
        <v>0</v>
      </c>
      <c r="E36" s="33">
        <f>IF('Seaborne Supply'!E35=0,0,('FOB Cost'!E35/(1-Assumptions!$E35/100)+'Freight to Qingdao'!E39)/(1-Assumptions!$D35/100))</f>
        <v>0</v>
      </c>
      <c r="F36" s="33">
        <f>IF('Seaborne Supply'!F35=0,0,('FOB Cost'!F35/(1-Assumptions!$E35/100)+'Freight to Qingdao'!F39)/(1-Assumptions!$D35/100))</f>
        <v>0</v>
      </c>
      <c r="G36" s="33">
        <f>IF('Seaborne Supply'!G35=0,0,('FOB Cost'!G35/(1-Assumptions!$E35/100)+'Freight to Qingdao'!G39)/(1-Assumptions!$D35/100))</f>
        <v>0</v>
      </c>
      <c r="H36" s="33">
        <f>IF('Seaborne Supply'!H35=0,0,('FOB Cost'!H35/(1-Assumptions!$E35/100)+'Freight to Qingdao'!H39)/(1-Assumptions!$D35/100))</f>
        <v>0</v>
      </c>
      <c r="I36" s="33">
        <f>IF('Seaborne Supply'!I35=0,0,('FOB Cost'!I35/(1-Assumptions!$E35/100)+'Freight to Qingdao'!I39)/(1-Assumptions!$D35/100))</f>
        <v>0</v>
      </c>
      <c r="J36" s="33">
        <f>IF('Seaborne Supply'!J35=0,0,('FOB Cost'!J35/(1-Assumptions!$E35/100)+'Freight to Qingdao'!J39)/(1-Assumptions!$D35/100))</f>
        <v>0</v>
      </c>
      <c r="K36" s="33">
        <f>IF('Seaborne Supply'!K35=0,0,('FOB Cost'!K35/(1-Assumptions!$E35/100)+'Freight to Qingdao'!K39)/(1-Assumptions!$D35/100))</f>
        <v>0</v>
      </c>
      <c r="L36" s="33">
        <f>IF('Seaborne Supply'!L35=0,0,('FOB Cost'!L35/(1-Assumptions!$E35/100)+'Freight to Qingdao'!L39)/(1-Assumptions!$D35/100))</f>
        <v>0</v>
      </c>
      <c r="M36" s="33">
        <f>IF('Seaborne Supply'!M35=0,0,('FOB Cost'!M35/(1-Assumptions!$E35/100)+'Freight to Qingdao'!M39)/(1-Assumptions!$D35/100))</f>
        <v>0</v>
      </c>
      <c r="N36" s="33">
        <f>IF('Seaborne Supply'!N35=0,0,('FOB Cost'!N35/(1-Assumptions!$E35/100)+'Freight to Qingdao'!N39)/(1-Assumptions!$D35/100))</f>
        <v>0</v>
      </c>
      <c r="O36" s="33">
        <f>IF('Seaborne Supply'!O35=0,0,('FOB Cost'!O35/(1-Assumptions!$E35/100)+'Freight to Qingdao'!O39)/(1-Assumptions!$D35/100))</f>
        <v>0</v>
      </c>
      <c r="P36" s="33">
        <f>IF('Seaborne Supply'!P35=0,0,('FOB Cost'!P35/(1-Assumptions!$E35/100)+'Freight to Qingdao'!P39)/(1-Assumptions!$D35/100))</f>
        <v>86.085990071704359</v>
      </c>
      <c r="Q36" s="33">
        <f>IF('Seaborne Supply'!Q35=0,0,('FOB Cost'!Q35/(1-Assumptions!$E35/100)+'Freight to Qingdao'!Q39)/(1-Assumptions!$D35/100))</f>
        <v>86.193987865416418</v>
      </c>
      <c r="R36" s="33">
        <f>IF('Seaborne Supply'!R35=0,0,('FOB Cost'!R35/(1-Assumptions!$E35/100)+'Freight to Qingdao'!R39)/(1-Assumptions!$D35/100))</f>
        <v>85.644070601213457</v>
      </c>
      <c r="S36" s="33">
        <f>IF('Seaborne Supply'!S35=0,0,('FOB Cost'!S35/(1-Assumptions!$E35/100)+'Freight to Qingdao'!S39)/(1-Assumptions!$D35/100))</f>
        <v>92.367622724765582</v>
      </c>
      <c r="T36" s="33">
        <f>IF('Seaborne Supply'!T35=0,0,('FOB Cost'!T35/(1-Assumptions!$E35/100)+'Freight to Qingdao'!T39)/(1-Assumptions!$D35/100))</f>
        <v>88.454274682846091</v>
      </c>
      <c r="U36" s="33">
        <f>IF('Seaborne Supply'!U35=0,0,('FOB Cost'!U35/(1-Assumptions!$E35/100)+'Freight to Qingdao'!U39)/(1-Assumptions!$D35/100))</f>
        <v>85.256150027578585</v>
      </c>
      <c r="V36" s="33">
        <f>IF('Seaborne Supply'!V35=0,0,('FOB Cost'!V35/(1-Assumptions!$E35/100)+'Freight to Qingdao'!V39)/(1-Assumptions!$D35/100))</f>
        <v>84.594925537782672</v>
      </c>
      <c r="W36" s="33">
        <f>IF('Seaborne Supply'!W35=0,0,('FOB Cost'!W35/(1-Assumptions!$E35/100)+'Freight to Qingdao'!W39)/(1-Assumptions!$D35/100))</f>
        <v>86.249310535024819</v>
      </c>
      <c r="X36" s="33">
        <f>IF('Seaborne Supply'!X35=0,0,('FOB Cost'!X35/(1-Assumptions!$E35/100)+'Freight to Qingdao'!X39)/(1-Assumptions!$D35/100))</f>
        <v>88.014009928295636</v>
      </c>
      <c r="Y36" s="33">
        <f>IF('Seaborne Supply'!Y35=0,0,('FOB Cost'!Y35/(1-Assumptions!$E35/100)+'Freight to Qingdao'!Y39)/(1-Assumptions!$D35/100))</f>
        <v>89.778709321566453</v>
      </c>
      <c r="Z36" s="33">
        <f>IF('Seaborne Supply'!Z35=0,0,('FOB Cost'!Z35/(1-Assumptions!$E35/100)+'Freight to Qingdao'!Z39)/(1-Assumptions!$D35/100))</f>
        <v>91.543408714837284</v>
      </c>
      <c r="AA36" s="33">
        <f>IF('Seaborne Supply'!AA35=0,0,('FOB Cost'!AA35/(1-Assumptions!$E35/100)+'Freight to Qingdao'!AA39)/(1-Assumptions!$D35/100))</f>
        <v>93.308108108108115</v>
      </c>
      <c r="AB36" s="33">
        <f>IF('Seaborne Supply'!AB35=0,0,('FOB Cost'!AB35/(1-Assumptions!$E35/100)+'Freight to Qingdao'!AB39)/(1-Assumptions!$D35/100))</f>
        <v>95.183121897407602</v>
      </c>
    </row>
    <row r="37" spans="1:28" x14ac:dyDescent="0.2">
      <c r="A37" s="7" t="s">
        <v>173</v>
      </c>
      <c r="B37" s="7"/>
      <c r="C37" s="33">
        <f>IF('Seaborne Supply'!C36=0,0,('FOB Cost'!C36/(1-Assumptions!$E36/100)+'Freight to Qingdao'!C40)/(1-Assumptions!$D36/100))</f>
        <v>0</v>
      </c>
      <c r="D37" s="33">
        <f>IF('Seaborne Supply'!D36=0,0,('FOB Cost'!D36/(1-Assumptions!$E36/100)+'Freight to Qingdao'!D40)/(1-Assumptions!$D36/100))</f>
        <v>0</v>
      </c>
      <c r="E37" s="33">
        <f>IF('Seaborne Supply'!E36=0,0,('FOB Cost'!E36/(1-Assumptions!$E36/100)+'Freight to Qingdao'!E40)/(1-Assumptions!$D36/100))</f>
        <v>102.22164385105064</v>
      </c>
      <c r="F37" s="33">
        <f>IF('Seaborne Supply'!F36=0,0,('FOB Cost'!F36/(1-Assumptions!$E36/100)+'Freight to Qingdao'!F40)/(1-Assumptions!$D36/100))</f>
        <v>86.820641090642781</v>
      </c>
      <c r="G37" s="33">
        <f>IF('Seaborne Supply'!G36=0,0,('FOB Cost'!G36/(1-Assumptions!$E36/100)+'Freight to Qingdao'!G40)/(1-Assumptions!$D36/100))</f>
        <v>78.398242352543519</v>
      </c>
      <c r="H37" s="33">
        <f>IF('Seaborne Supply'!H36=0,0,('FOB Cost'!H36/(1-Assumptions!$E36/100)+'Freight to Qingdao'!H40)/(1-Assumptions!$D36/100))</f>
        <v>0</v>
      </c>
      <c r="I37" s="33">
        <f>IF('Seaborne Supply'!I36=0,0,('FOB Cost'!I36/(1-Assumptions!$E36/100)+'Freight to Qingdao'!I40)/(1-Assumptions!$D36/100))</f>
        <v>0</v>
      </c>
      <c r="J37" s="33">
        <f>IF('Seaborne Supply'!J36=0,0,('FOB Cost'!J36/(1-Assumptions!$E36/100)+'Freight to Qingdao'!J40)/(1-Assumptions!$D36/100))</f>
        <v>0</v>
      </c>
      <c r="K37" s="33">
        <f>IF('Seaborne Supply'!K36=0,0,('FOB Cost'!K36/(1-Assumptions!$E36/100)+'Freight to Qingdao'!K40)/(1-Assumptions!$D36/100))</f>
        <v>0</v>
      </c>
      <c r="L37" s="33">
        <f>IF('Seaborne Supply'!L36=0,0,('FOB Cost'!L36/(1-Assumptions!$E36/100)+'Freight to Qingdao'!L40)/(1-Assumptions!$D36/100))</f>
        <v>68.369286237395073</v>
      </c>
      <c r="M37" s="33">
        <f>IF('Seaborne Supply'!M36=0,0,('FOB Cost'!M36/(1-Assumptions!$E36/100)+'Freight to Qingdao'!M40)/(1-Assumptions!$D36/100))</f>
        <v>0</v>
      </c>
      <c r="N37" s="33">
        <f>IF('Seaborne Supply'!N36=0,0,('FOB Cost'!N36/(1-Assumptions!$E36/100)+'Freight to Qingdao'!N40)/(1-Assumptions!$D36/100))</f>
        <v>83.804878598388825</v>
      </c>
      <c r="O37" s="33">
        <f>IF('Seaborne Supply'!O36=0,0,('FOB Cost'!O36/(1-Assumptions!$E36/100)+'Freight to Qingdao'!O40)/(1-Assumptions!$D36/100))</f>
        <v>78.659681144724232</v>
      </c>
      <c r="P37" s="33">
        <f>IF('Seaborne Supply'!P36=0,0,('FOB Cost'!P36/(1-Assumptions!$E36/100)+'Freight to Qingdao'!P40)/(1-Assumptions!$D36/100))</f>
        <v>72.066475128161784</v>
      </c>
      <c r="Q37" s="33">
        <f>IF('Seaborne Supply'!Q36=0,0,('FOB Cost'!Q36/(1-Assumptions!$E36/100)+'Freight to Qingdao'!Q40)/(1-Assumptions!$D36/100))</f>
        <v>76.913976677370286</v>
      </c>
      <c r="R37" s="33">
        <f>IF('Seaborne Supply'!R36=0,0,('FOB Cost'!R36/(1-Assumptions!$E36/100)+'Freight to Qingdao'!R40)/(1-Assumptions!$D36/100))</f>
        <v>70.777015379415246</v>
      </c>
      <c r="S37" s="33">
        <f>IF('Seaborne Supply'!S36=0,0,('FOB Cost'!S36/(1-Assumptions!$E36/100)+'Freight to Qingdao'!S40)/(1-Assumptions!$D36/100))</f>
        <v>78.270069291870882</v>
      </c>
      <c r="T37" s="33">
        <f>IF('Seaborne Supply'!T36=0,0,('FOB Cost'!T36/(1-Assumptions!$E36/100)+'Freight to Qingdao'!T40)/(1-Assumptions!$D36/100))</f>
        <v>73.28071657934764</v>
      </c>
      <c r="U37" s="33">
        <f>IF('Seaborne Supply'!U36=0,0,('FOB Cost'!U36/(1-Assumptions!$E36/100)+'Freight to Qingdao'!U40)/(1-Assumptions!$D36/100))</f>
        <v>71.718686271195992</v>
      </c>
      <c r="V37" s="33">
        <f>IF('Seaborne Supply'!V36=0,0,('FOB Cost'!V36/(1-Assumptions!$E36/100)+'Freight to Qingdao'!V40)/(1-Assumptions!$D36/100))</f>
        <v>71.120590389273843</v>
      </c>
      <c r="W37" s="33">
        <f>IF('Seaborne Supply'!W36=0,0,('FOB Cost'!W36/(1-Assumptions!$E36/100)+'Freight to Qingdao'!W40)/(1-Assumptions!$D36/100))</f>
        <v>72.563033068559506</v>
      </c>
      <c r="X37" s="33">
        <f>IF('Seaborne Supply'!X36=0,0,('FOB Cost'!X36/(1-Assumptions!$E36/100)+'Freight to Qingdao'!X40)/(1-Assumptions!$D36/100))</f>
        <v>74.112579572981801</v>
      </c>
      <c r="Y37" s="33">
        <f>IF('Seaborne Supply'!Y36=0,0,('FOB Cost'!Y36/(1-Assumptions!$E36/100)+'Freight to Qingdao'!Y40)/(1-Assumptions!$D36/100))</f>
        <v>75.442352543518666</v>
      </c>
      <c r="Z37" s="33">
        <f>IF('Seaborne Supply'!Z36=0,0,('FOB Cost'!Z36/(1-Assumptions!$E36/100)+'Freight to Qingdao'!Z40)/(1-Assumptions!$D36/100))</f>
        <v>76.991899047940976</v>
      </c>
      <c r="AA37" s="33">
        <f>IF('Seaborne Supply'!AA36=0,0,('FOB Cost'!AA36/(1-Assumptions!$E36/100)+'Freight to Qingdao'!AA40)/(1-Assumptions!$D36/100))</f>
        <v>78.654115261112054</v>
      </c>
      <c r="AB37" s="33">
        <f>IF('Seaborne Supply'!AB36=0,0,('FOB Cost'!AB36/(1-Assumptions!$E36/100)+'Freight to Qingdao'!AB40)/(1-Assumptions!$D36/100))</f>
        <v>80.203661765534335</v>
      </c>
    </row>
    <row r="38" spans="1:28" x14ac:dyDescent="0.2">
      <c r="A38" s="7" t="s">
        <v>177</v>
      </c>
      <c r="B38" s="7"/>
      <c r="C38" s="33">
        <f>IF('Seaborne Supply'!C37=0,0,('FOB Cost'!C37/(1-Assumptions!$E37/100)+'Freight to Qingdao'!C41)/(1-Assumptions!$D37/100))</f>
        <v>0</v>
      </c>
      <c r="D38" s="33">
        <f>IF('Seaborne Supply'!D37=0,0,('FOB Cost'!D37/(1-Assumptions!$E37/100)+'Freight to Qingdao'!D41)/(1-Assumptions!$D37/100))</f>
        <v>88.484304413297821</v>
      </c>
      <c r="E38" s="33">
        <f>IF('Seaborne Supply'!E37=0,0,('FOB Cost'!E37/(1-Assumptions!$E37/100)+'Freight to Qingdao'!E41)/(1-Assumptions!$D37/100))</f>
        <v>78.451083053399728</v>
      </c>
      <c r="F38" s="33">
        <f>IF('Seaborne Supply'!F37=0,0,('FOB Cost'!F37/(1-Assumptions!$E37/100)+'Freight to Qingdao'!F41)/(1-Assumptions!$D37/100))</f>
        <v>73.042580794625266</v>
      </c>
      <c r="G38" s="33">
        <f>IF('Seaborne Supply'!G37=0,0,('FOB Cost'!G37/(1-Assumptions!$E37/100)+'Freight to Qingdao'!G41)/(1-Assumptions!$D37/100))</f>
        <v>66.700289586470518</v>
      </c>
      <c r="H38" s="33">
        <f>IF('Seaborne Supply'!H37=0,0,('FOB Cost'!H37/(1-Assumptions!$E37/100)+'Freight to Qingdao'!H41)/(1-Assumptions!$D37/100))</f>
        <v>56.349727788717715</v>
      </c>
      <c r="I38" s="33">
        <f>IF('Seaborne Supply'!I37=0,0,('FOB Cost'!I37/(1-Assumptions!$E37/100)+'Freight to Qingdao'!I41)/(1-Assumptions!$D37/100))</f>
        <v>56.354060002316693</v>
      </c>
      <c r="J38" s="33">
        <f>IF('Seaborne Supply'!J37=0,0,('FOB Cost'!J37/(1-Assumptions!$E37/100)+'Freight to Qingdao'!J41)/(1-Assumptions!$D37/100))</f>
        <v>65.387605699061737</v>
      </c>
      <c r="K38" s="33">
        <f>IF('Seaborne Supply'!K37=0,0,('FOB Cost'!K37/(1-Assumptions!$E37/100)+'Freight to Qingdao'!K41)/(1-Assumptions!$D37/100))</f>
        <v>0</v>
      </c>
      <c r="L38" s="33">
        <f>IF('Seaborne Supply'!L37=0,0,('FOB Cost'!L37/(1-Assumptions!$E37/100)+'Freight to Qingdao'!L41)/(1-Assumptions!$D37/100))</f>
        <v>0</v>
      </c>
      <c r="M38" s="33">
        <f>IF('Seaborne Supply'!M37=0,0,('FOB Cost'!M37/(1-Assumptions!$E37/100)+'Freight to Qingdao'!M41)/(1-Assumptions!$D37/100))</f>
        <v>0</v>
      </c>
      <c r="N38" s="33">
        <f>IF('Seaborne Supply'!N37=0,0,('FOB Cost'!N37/(1-Assumptions!$E37/100)+'Freight to Qingdao'!N41)/(1-Assumptions!$D37/100))</f>
        <v>68.78375999073323</v>
      </c>
      <c r="O38" s="33">
        <f>IF('Seaborne Supply'!O37=0,0,('FOB Cost'!O37/(1-Assumptions!$E37/100)+'Freight to Qingdao'!O41)/(1-Assumptions!$D37/100))</f>
        <v>66.969072164948443</v>
      </c>
      <c r="P38" s="33">
        <f>IF('Seaborne Supply'!P37=0,0,('FOB Cost'!P37/(1-Assumptions!$E37/100)+'Freight to Qingdao'!P41)/(1-Assumptions!$D37/100))</f>
        <v>64.824047260511989</v>
      </c>
      <c r="Q38" s="33">
        <f>IF('Seaborne Supply'!Q37=0,0,('FOB Cost'!Q37/(1-Assumptions!$E37/100)+'Freight to Qingdao'!Q41)/(1-Assumptions!$D37/100))</f>
        <v>70.386887524614849</v>
      </c>
      <c r="R38" s="33">
        <f>IF('Seaborne Supply'!R37=0,0,('FOB Cost'!R37/(1-Assumptions!$E37/100)+'Freight to Qingdao'!R41)/(1-Assumptions!$D37/100))</f>
        <v>70.448442024788605</v>
      </c>
      <c r="S38" s="33">
        <f>IF('Seaborne Supply'!S37=0,0,('FOB Cost'!S37/(1-Assumptions!$E37/100)+'Freight to Qingdao'!S41)/(1-Assumptions!$D37/100))</f>
        <v>83.94370439013089</v>
      </c>
      <c r="T38" s="33">
        <f>IF('Seaborne Supply'!T37=0,0,('FOB Cost'!T37/(1-Assumptions!$E37/100)+'Freight to Qingdao'!T41)/(1-Assumptions!$D37/100))</f>
        <v>78.930035908722346</v>
      </c>
      <c r="U38" s="33">
        <f>IF('Seaborne Supply'!U37=0,0,('FOB Cost'!U37/(1-Assumptions!$E37/100)+'Freight to Qingdao'!U41)/(1-Assumptions!$D37/100))</f>
        <v>77.324128344723732</v>
      </c>
      <c r="V38" s="33">
        <f>IF('Seaborne Supply'!V37=0,0,('FOB Cost'!V37/(1-Assumptions!$E37/100)+'Freight to Qingdao'!V41)/(1-Assumptions!$D37/100))</f>
        <v>76.825066604888221</v>
      </c>
      <c r="W38" s="33">
        <f>IF('Seaborne Supply'!W37=0,0,('FOB Cost'!W37/(1-Assumptions!$E37/100)+'Freight to Qingdao'!W41)/(1-Assumptions!$D37/100))</f>
        <v>78.308027336962823</v>
      </c>
      <c r="X38" s="33">
        <f>IF('Seaborne Supply'!X37=0,0,('FOB Cost'!X37/(1-Assumptions!$E37/100)+'Freight to Qingdao'!X41)/(1-Assumptions!$D37/100))</f>
        <v>80.016935016796012</v>
      </c>
      <c r="Y38" s="33">
        <f>IF('Seaborne Supply'!Y37=0,0,('FOB Cost'!Y37/(1-Assumptions!$E37/100)+'Freight to Qingdao'!Y41)/(1-Assumptions!$D37/100))</f>
        <v>81.499895748870614</v>
      </c>
      <c r="Z38" s="33">
        <f>IF('Seaborne Supply'!Z37=0,0,('FOB Cost'!Z37/(1-Assumptions!$E37/100)+'Freight to Qingdao'!Z41)/(1-Assumptions!$D37/100))</f>
        <v>83.208803428703803</v>
      </c>
      <c r="AA38" s="33">
        <f>IF('Seaborne Supply'!AA37=0,0,('FOB Cost'!AA37/(1-Assumptions!$E37/100)+'Freight to Qingdao'!AA41)/(1-Assumptions!$D37/100))</f>
        <v>84.91771110853702</v>
      </c>
      <c r="AB38" s="33">
        <f>IF('Seaborne Supply'!AB37=0,0,('FOB Cost'!AB37/(1-Assumptions!$E37/100)+'Freight to Qingdao'!AB41)/(1-Assumptions!$D37/100))</f>
        <v>86.626618788370209</v>
      </c>
    </row>
    <row r="39" spans="1:28" x14ac:dyDescent="0.2">
      <c r="A39" s="7" t="s">
        <v>119</v>
      </c>
      <c r="B39" s="7"/>
      <c r="C39" s="33">
        <f>IF('Seaborne Supply'!C38=0,0,('FOB Cost'!C38/(1-Assumptions!$E38/100)+'Freight to Qingdao'!C42)/(1-Assumptions!$D38/100))</f>
        <v>0</v>
      </c>
      <c r="D39" s="33">
        <f>IF('Seaborne Supply'!D38=0,0,('FOB Cost'!D38/(1-Assumptions!$E38/100)+'Freight to Qingdao'!D42)/(1-Assumptions!$D38/100))</f>
        <v>0</v>
      </c>
      <c r="E39" s="33">
        <f>IF('Seaborne Supply'!E38=0,0,('FOB Cost'!E38/(1-Assumptions!$E38/100)+'Freight to Qingdao'!E42)/(1-Assumptions!$D38/100))</f>
        <v>0</v>
      </c>
      <c r="F39" s="33">
        <f>IF('Seaborne Supply'!F38=0,0,('FOB Cost'!F38/(1-Assumptions!$E38/100)+'Freight to Qingdao'!F42)/(1-Assumptions!$D38/100))</f>
        <v>0</v>
      </c>
      <c r="G39" s="33">
        <f>IF('Seaborne Supply'!G38=0,0,('FOB Cost'!G38/(1-Assumptions!$E38/100)+'Freight to Qingdao'!G42)/(1-Assumptions!$D38/100))</f>
        <v>0</v>
      </c>
      <c r="H39" s="33">
        <f>IF('Seaborne Supply'!H38=0,0,('FOB Cost'!H38/(1-Assumptions!$E38/100)+'Freight to Qingdao'!H42)/(1-Assumptions!$D38/100))</f>
        <v>0</v>
      </c>
      <c r="I39" s="33">
        <f>IF('Seaborne Supply'!I38=0,0,('FOB Cost'!I38/(1-Assumptions!$E38/100)+'Freight to Qingdao'!I42)/(1-Assumptions!$D38/100))</f>
        <v>0</v>
      </c>
      <c r="J39" s="33">
        <f>IF('Seaborne Supply'!J38=0,0,('FOB Cost'!J38/(1-Assumptions!$E38/100)+'Freight to Qingdao'!J42)/(1-Assumptions!$D38/100))</f>
        <v>0</v>
      </c>
      <c r="K39" s="33">
        <f>IF('Seaborne Supply'!K38=0,0,('FOB Cost'!K38/(1-Assumptions!$E38/100)+'Freight to Qingdao'!K42)/(1-Assumptions!$D38/100))</f>
        <v>0</v>
      </c>
      <c r="L39" s="33">
        <f>IF('Seaborne Supply'!L38=0,0,('FOB Cost'!L38/(1-Assumptions!$E38/100)+'Freight to Qingdao'!L42)/(1-Assumptions!$D38/100))</f>
        <v>0</v>
      </c>
      <c r="M39" s="33">
        <f>IF('Seaborne Supply'!M38=0,0,('FOB Cost'!M38/(1-Assumptions!$E38/100)+'Freight to Qingdao'!M42)/(1-Assumptions!$D38/100))</f>
        <v>0</v>
      </c>
      <c r="N39" s="33">
        <f>IF('Seaborne Supply'!N38=0,0,('FOB Cost'!N38/(1-Assumptions!$E38/100)+'Freight to Qingdao'!N42)/(1-Assumptions!$D38/100))</f>
        <v>0</v>
      </c>
      <c r="O39" s="33">
        <f>IF('Seaborne Supply'!O38=0,0,('FOB Cost'!O38/(1-Assumptions!$E38/100)+'Freight to Qingdao'!O42)/(1-Assumptions!$D38/100))</f>
        <v>0</v>
      </c>
      <c r="P39" s="33">
        <f>IF('Seaborne Supply'!P38=0,0,('FOB Cost'!P38/(1-Assumptions!$E38/100)+'Freight to Qingdao'!P42)/(1-Assumptions!$D38/100))</f>
        <v>0</v>
      </c>
      <c r="Q39" s="33">
        <f>IF('Seaborne Supply'!Q38=0,0,('FOB Cost'!Q38/(1-Assumptions!$E38/100)+'Freight to Qingdao'!Q42)/(1-Assumptions!$D38/100))</f>
        <v>0</v>
      </c>
      <c r="R39" s="33">
        <f>IF('Seaborne Supply'!R38=0,0,('FOB Cost'!R38/(1-Assumptions!$E38/100)+'Freight to Qingdao'!R42)/(1-Assumptions!$D38/100))</f>
        <v>49.923592025230903</v>
      </c>
      <c r="S39" s="33">
        <f>IF('Seaborne Supply'!S38=0,0,('FOB Cost'!S38/(1-Assumptions!$E38/100)+'Freight to Qingdao'!S42)/(1-Assumptions!$D38/100))</f>
        <v>60.279173237215588</v>
      </c>
      <c r="T39" s="33">
        <f>IF('Seaborne Supply'!T38=0,0,('FOB Cost'!T38/(1-Assumptions!$E38/100)+'Freight to Qingdao'!T42)/(1-Assumptions!$D38/100))</f>
        <v>54.923884883982879</v>
      </c>
      <c r="U39" s="33">
        <f>IF('Seaborne Supply'!U38=0,0,('FOB Cost'!U38/(1-Assumptions!$E38/100)+'Freight to Qingdao'!U42)/(1-Assumptions!$D38/100))</f>
        <v>52.899436810092361</v>
      </c>
      <c r="V39" s="33">
        <f>IF('Seaborne Supply'!V38=0,0,('FOB Cost'!V38/(1-Assumptions!$E38/100)+'Freight to Qingdao'!V42)/(1-Assumptions!$D38/100))</f>
        <v>51.956104978598781</v>
      </c>
      <c r="W39" s="33">
        <f>IF('Seaborne Supply'!W38=0,0,('FOB Cost'!W38/(1-Assumptions!$E38/100)+'Freight to Qingdao'!W42)/(1-Assumptions!$D38/100))</f>
        <v>52.949729668844334</v>
      </c>
      <c r="X39" s="33">
        <f>IF('Seaborne Supply'!X38=0,0,('FOB Cost'!X38/(1-Assumptions!$E38/100)+'Freight to Qingdao'!X42)/(1-Assumptions!$D38/100))</f>
        <v>54.163601036269426</v>
      </c>
      <c r="Y39" s="33">
        <f>IF('Seaborne Supply'!Y38=0,0,('FOB Cost'!Y38/(1-Assumptions!$E38/100)+'Freight to Qingdao'!Y42)/(1-Assumptions!$D38/100))</f>
        <v>55.15722572651498</v>
      </c>
      <c r="Z39" s="33">
        <f>IF('Seaborne Supply'!Z38=0,0,('FOB Cost'!Z38/(1-Assumptions!$E38/100)+'Freight to Qingdao'!Z42)/(1-Assumptions!$D38/100))</f>
        <v>56.258459112412702</v>
      </c>
      <c r="AA39" s="33">
        <f>IF('Seaborne Supply'!AA38=0,0,('FOB Cost'!AA38/(1-Assumptions!$E38/100)+'Freight to Qingdao'!AA42)/(1-Assumptions!$D38/100))</f>
        <v>57.472330479837794</v>
      </c>
      <c r="AB39" s="33">
        <f>IF('Seaborne Supply'!AB38=0,0,('FOB Cost'!AB38/(1-Assumptions!$E38/100)+'Freight to Qingdao'!AB42)/(1-Assumptions!$D38/100))</f>
        <v>58.57356386573553</v>
      </c>
    </row>
    <row r="40" spans="1:28" x14ac:dyDescent="0.2">
      <c r="A40" s="7" t="s">
        <v>120</v>
      </c>
      <c r="B40" s="7"/>
      <c r="C40" s="33">
        <f>IF('Seaborne Supply'!C39=0,0,('FOB Cost'!C39/(1-Assumptions!$E39/100)+'Freight to Qingdao'!C43)/(1-Assumptions!$D39/100))</f>
        <v>0</v>
      </c>
      <c r="D40" s="33">
        <f>IF('Seaborne Supply'!D39=0,0,('FOB Cost'!D39/(1-Assumptions!$E39/100)+'Freight to Qingdao'!D43)/(1-Assumptions!$D39/100))</f>
        <v>0</v>
      </c>
      <c r="E40" s="33">
        <f>IF('Seaborne Supply'!E39=0,0,('FOB Cost'!E39/(1-Assumptions!$E39/100)+'Freight to Qingdao'!E43)/(1-Assumptions!$D39/100))</f>
        <v>0</v>
      </c>
      <c r="F40" s="33">
        <f>IF('Seaborne Supply'!F39=0,0,('FOB Cost'!F39/(1-Assumptions!$E39/100)+'Freight to Qingdao'!F43)/(1-Assumptions!$D39/100))</f>
        <v>0</v>
      </c>
      <c r="G40" s="33">
        <f>IF('Seaborne Supply'!G39=0,0,('FOB Cost'!G39/(1-Assumptions!$E39/100)+'Freight to Qingdao'!G43)/(1-Assumptions!$D39/100))</f>
        <v>0</v>
      </c>
      <c r="H40" s="33">
        <f>IF('Seaborne Supply'!H39=0,0,('FOB Cost'!H39/(1-Assumptions!$E39/100)+'Freight to Qingdao'!H43)/(1-Assumptions!$D39/100))</f>
        <v>0</v>
      </c>
      <c r="I40" s="33">
        <f>IF('Seaborne Supply'!I39=0,0,('FOB Cost'!I39/(1-Assumptions!$E39/100)+'Freight to Qingdao'!I43)/(1-Assumptions!$D39/100))</f>
        <v>0</v>
      </c>
      <c r="J40" s="33">
        <f>IF('Seaborne Supply'!J39=0,0,('FOB Cost'!J39/(1-Assumptions!$E39/100)+'Freight to Qingdao'!J43)/(1-Assumptions!$D39/100))</f>
        <v>0</v>
      </c>
      <c r="K40" s="33">
        <f>IF('Seaborne Supply'!K39=0,0,('FOB Cost'!K39/(1-Assumptions!$E39/100)+'Freight to Qingdao'!K43)/(1-Assumptions!$D39/100))</f>
        <v>0</v>
      </c>
      <c r="L40" s="33">
        <f>IF('Seaborne Supply'!L39=0,0,('FOB Cost'!L39/(1-Assumptions!$E39/100)+'Freight to Qingdao'!L43)/(1-Assumptions!$D39/100))</f>
        <v>0</v>
      </c>
      <c r="M40" s="33">
        <f>IF('Seaborne Supply'!M39=0,0,('FOB Cost'!M39/(1-Assumptions!$E39/100)+'Freight to Qingdao'!M43)/(1-Assumptions!$D39/100))</f>
        <v>0</v>
      </c>
      <c r="N40" s="33">
        <f>IF('Seaborne Supply'!N39=0,0,('FOB Cost'!N39/(1-Assumptions!$E39/100)+'Freight to Qingdao'!N43)/(1-Assumptions!$D39/100))</f>
        <v>0</v>
      </c>
      <c r="O40" s="33">
        <f>IF('Seaborne Supply'!O39=0,0,('FOB Cost'!O39/(1-Assumptions!$E39/100)+'Freight to Qingdao'!O43)/(1-Assumptions!$D39/100))</f>
        <v>0</v>
      </c>
      <c r="P40" s="33">
        <f>IF('Seaborne Supply'!P39=0,0,('FOB Cost'!P39/(1-Assumptions!$E39/100)+'Freight to Qingdao'!P43)/(1-Assumptions!$D39/100))</f>
        <v>0</v>
      </c>
      <c r="Q40" s="33">
        <f>IF('Seaborne Supply'!Q39=0,0,('FOB Cost'!Q39/(1-Assumptions!$E39/100)+'Freight to Qingdao'!Q43)/(1-Assumptions!$D39/100))</f>
        <v>0</v>
      </c>
      <c r="R40" s="33">
        <f>IF('Seaborne Supply'!R39=0,0,('FOB Cost'!R39/(1-Assumptions!$E39/100)+'Freight to Qingdao'!R43)/(1-Assumptions!$D39/100))</f>
        <v>52.288989637305697</v>
      </c>
      <c r="S40" s="33">
        <f>IF('Seaborne Supply'!S39=0,0,('FOB Cost'!S39/(1-Assumptions!$E39/100)+'Freight to Qingdao'!S43)/(1-Assumptions!$D39/100))</f>
        <v>62.644570849290382</v>
      </c>
      <c r="T40" s="33">
        <f>IF('Seaborne Supply'!T39=0,0,('FOB Cost'!T39/(1-Assumptions!$E39/100)+'Freight to Qingdao'!T43)/(1-Assumptions!$D39/100))</f>
        <v>57.289282496057673</v>
      </c>
      <c r="U40" s="33">
        <f>IF('Seaborne Supply'!U39=0,0,('FOB Cost'!U39/(1-Assumptions!$E39/100)+'Freight to Qingdao'!U43)/(1-Assumptions!$D39/100))</f>
        <v>55.377472403694526</v>
      </c>
      <c r="V40" s="33">
        <f>IF('Seaborne Supply'!V39=0,0,('FOB Cost'!V39/(1-Assumptions!$E39/100)+'Freight to Qingdao'!V43)/(1-Assumptions!$D39/100))</f>
        <v>54.546778553728316</v>
      </c>
      <c r="W40" s="33">
        <f>IF('Seaborne Supply'!W39=0,0,('FOB Cost'!W39/(1-Assumptions!$E39/100)+'Freight to Qingdao'!W43)/(1-Assumptions!$D39/100))</f>
        <v>55.540403243973863</v>
      </c>
      <c r="X40" s="33">
        <f>IF('Seaborne Supply'!X39=0,0,('FOB Cost'!X39/(1-Assumptions!$E39/100)+'Freight to Qingdao'!X43)/(1-Assumptions!$D39/100))</f>
        <v>56.754274611398962</v>
      </c>
      <c r="Y40" s="33">
        <f>IF('Seaborne Supply'!Y39=0,0,('FOB Cost'!Y39/(1-Assumptions!$E39/100)+'Freight to Qingdao'!Y43)/(1-Assumptions!$D39/100))</f>
        <v>57.860537283171887</v>
      </c>
      <c r="Z40" s="33">
        <f>IF('Seaborne Supply'!Z39=0,0,('FOB Cost'!Z39/(1-Assumptions!$E39/100)+'Freight to Qingdao'!Z43)/(1-Assumptions!$D39/100))</f>
        <v>59.074408650596979</v>
      </c>
      <c r="AA40" s="33">
        <f>IF('Seaborne Supply'!AA39=0,0,('FOB Cost'!AA39/(1-Assumptions!$E39/100)+'Freight to Qingdao'!AA43)/(1-Assumptions!$D39/100))</f>
        <v>60.288280018022085</v>
      </c>
      <c r="AB40" s="33">
        <f>IF('Seaborne Supply'!AB39=0,0,('FOB Cost'!AB39/(1-Assumptions!$E39/100)+'Freight to Qingdao'!AB43)/(1-Assumptions!$D39/100))</f>
        <v>61.502151385447171</v>
      </c>
    </row>
    <row r="41" spans="1:28" x14ac:dyDescent="0.2">
      <c r="A41" s="7" t="s">
        <v>223</v>
      </c>
      <c r="B41" s="7"/>
      <c r="C41" s="33">
        <f>IF('Seaborne Supply'!C40=0,0,('FOB Cost'!C40/(1-Assumptions!$E40/100)+'Freight to Qingdao'!C44)/(1-Assumptions!$D40/100))</f>
        <v>72.91304347826086</v>
      </c>
      <c r="D41" s="33">
        <f>IF('Seaborne Supply'!D40=0,0,('FOB Cost'!D40/(1-Assumptions!$E40/100)+'Freight to Qingdao'!D44)/(1-Assumptions!$D40/100))</f>
        <v>76.90217391304347</v>
      </c>
      <c r="E41" s="33">
        <f>IF('Seaborne Supply'!E40=0,0,('FOB Cost'!E40/(1-Assumptions!$E40/100)+'Freight to Qingdao'!E44)/(1-Assumptions!$D40/100))</f>
        <v>77.423913043478265</v>
      </c>
      <c r="F41" s="33">
        <f>IF('Seaborne Supply'!F40=0,0,('FOB Cost'!F40/(1-Assumptions!$E40/100)+'Freight to Qingdao'!F44)/(1-Assumptions!$D40/100))</f>
        <v>81.40217391304347</v>
      </c>
      <c r="G41" s="33">
        <f>IF('Seaborne Supply'!G40=0,0,('FOB Cost'!G40/(1-Assumptions!$E40/100)+'Freight to Qingdao'!G44)/(1-Assumptions!$D40/100))</f>
        <v>72</v>
      </c>
      <c r="H41" s="33">
        <f>IF('Seaborne Supply'!H40=0,0,('FOB Cost'!H40/(1-Assumptions!$E40/100)+'Freight to Qingdao'!H44)/(1-Assumptions!$D40/100))</f>
        <v>48.347826086956516</v>
      </c>
      <c r="I41" s="33">
        <f>IF('Seaborne Supply'!I40=0,0,('FOB Cost'!I40/(1-Assumptions!$E40/100)+'Freight to Qingdao'!I44)/(1-Assumptions!$D40/100))</f>
        <v>43.141304347826086</v>
      </c>
      <c r="J41" s="33">
        <f>IF('Seaborne Supply'!J40=0,0,('FOB Cost'!J40/(1-Assumptions!$E40/100)+'Freight to Qingdao'!J44)/(1-Assumptions!$D40/100))</f>
        <v>50.195652173913039</v>
      </c>
      <c r="K41" s="33">
        <f>IF('Seaborne Supply'!K40=0,0,('FOB Cost'!K40/(1-Assumptions!$E40/100)+'Freight to Qingdao'!K44)/(1-Assumptions!$D40/100))</f>
        <v>83.760869565217391</v>
      </c>
      <c r="L41" s="33">
        <f>IF('Seaborne Supply'!L40=0,0,('FOB Cost'!L40/(1-Assumptions!$E40/100)+'Freight to Qingdao'!L44)/(1-Assumptions!$D40/100))</f>
        <v>70.15217391304347</v>
      </c>
      <c r="M41" s="33">
        <f>IF('Seaborne Supply'!M40=0,0,('FOB Cost'!M40/(1-Assumptions!$E40/100)+'Freight to Qingdao'!M44)/(1-Assumptions!$D40/100))</f>
        <v>79.369565217391312</v>
      </c>
      <c r="N41" s="33">
        <f>IF('Seaborne Supply'!N40=0,0,('FOB Cost'!N40/(1-Assumptions!$E40/100)+'Freight to Qingdao'!N44)/(1-Assumptions!$D40/100))</f>
        <v>75.032608695652172</v>
      </c>
      <c r="O41" s="33">
        <f>IF('Seaborne Supply'!O40=0,0,('FOB Cost'!O40/(1-Assumptions!$E40/100)+'Freight to Qingdao'!O44)/(1-Assumptions!$D40/100))</f>
        <v>77.826086956521735</v>
      </c>
      <c r="P41" s="33">
        <f>IF('Seaborne Supply'!P40=0,0,('FOB Cost'!P40/(1-Assumptions!$E40/100)+'Freight to Qingdao'!P44)/(1-Assumptions!$D40/100))</f>
        <v>77.065217391304344</v>
      </c>
      <c r="Q41" s="33">
        <f>IF('Seaborne Supply'!Q40=0,0,('FOB Cost'!Q40/(1-Assumptions!$E40/100)+'Freight to Qingdao'!Q44)/(1-Assumptions!$D40/100))</f>
        <v>86.630434782608688</v>
      </c>
      <c r="R41" s="33">
        <f>IF('Seaborne Supply'!R40=0,0,('FOB Cost'!R40/(1-Assumptions!$E40/100)+'Freight to Qingdao'!R44)/(1-Assumptions!$D40/100))</f>
        <v>75.989130434782595</v>
      </c>
      <c r="S41" s="33">
        <f>IF('Seaborne Supply'!S40=0,0,('FOB Cost'!S40/(1-Assumptions!$E40/100)+'Freight to Qingdao'!S44)/(1-Assumptions!$D40/100))</f>
        <v>81.956521739130437</v>
      </c>
      <c r="T41" s="33">
        <f>IF('Seaborne Supply'!T40=0,0,('FOB Cost'!T40/(1-Assumptions!$E40/100)+'Freight to Qingdao'!T44)/(1-Assumptions!$D40/100))</f>
        <v>74.402173913043484</v>
      </c>
      <c r="U41" s="33">
        <f>IF('Seaborne Supply'!U40=0,0,('FOB Cost'!U40/(1-Assumptions!$E40/100)+'Freight to Qingdao'!U44)/(1-Assumptions!$D40/100))</f>
        <v>71.065217391304344</v>
      </c>
      <c r="V41" s="33">
        <f>IF('Seaborne Supply'!V40=0,0,('FOB Cost'!V40/(1-Assumptions!$E40/100)+'Freight to Qingdao'!V44)/(1-Assumptions!$D40/100))</f>
        <v>68.608695652173921</v>
      </c>
      <c r="W41" s="33">
        <f>IF('Seaborne Supply'!W40=0,0,('FOB Cost'!W40/(1-Assumptions!$E40/100)+'Freight to Qingdao'!W44)/(1-Assumptions!$D40/100))</f>
        <v>69.978260869565204</v>
      </c>
      <c r="X41" s="33">
        <f>IF('Seaborne Supply'!X40=0,0,('FOB Cost'!X40/(1-Assumptions!$E40/100)+'Freight to Qingdao'!X44)/(1-Assumptions!$D40/100))</f>
        <v>71.445652173913032</v>
      </c>
      <c r="Y41" s="33">
        <f>IF('Seaborne Supply'!Y40=0,0,('FOB Cost'!Y40/(1-Assumptions!$E40/100)+'Freight to Qingdao'!Y44)/(1-Assumptions!$D40/100))</f>
        <v>72.923913043478265</v>
      </c>
      <c r="Z41" s="33">
        <f>IF('Seaborne Supply'!Z40=0,0,('FOB Cost'!Z40/(1-Assumptions!$E40/100)+'Freight to Qingdao'!Z44)/(1-Assumptions!$D40/100))</f>
        <v>74.391304347826079</v>
      </c>
      <c r="AA41" s="33">
        <f>IF('Seaborne Supply'!AA40=0,0,('FOB Cost'!AA40/(1-Assumptions!$E40/100)+'Freight to Qingdao'!AA44)/(1-Assumptions!$D40/100))</f>
        <v>75.967391304347828</v>
      </c>
      <c r="AB41" s="33">
        <f>IF('Seaborne Supply'!AB40=0,0,('FOB Cost'!AB40/(1-Assumptions!$E40/100)+'Freight to Qingdao'!AB44)/(1-Assumptions!$D40/100))</f>
        <v>77.543478260869563</v>
      </c>
    </row>
    <row r="42" spans="1:28" x14ac:dyDescent="0.2">
      <c r="A42" s="7" t="s">
        <v>225</v>
      </c>
      <c r="B42" s="7"/>
      <c r="C42" s="33">
        <f>IF('Seaborne Supply'!C41=0,0,('FOB Cost'!C41/(1-Assumptions!$E41/100)+'Freight to Qingdao'!C45)/(1-Assumptions!$D41/100))</f>
        <v>74.802173913043475</v>
      </c>
      <c r="D42" s="33">
        <f>IF('Seaborne Supply'!D41=0,0,('FOB Cost'!D41/(1-Assumptions!$E41/100)+'Freight to Qingdao'!D45)/(1-Assumptions!$D41/100))</f>
        <v>78.831521739130437</v>
      </c>
      <c r="E42" s="33">
        <f>IF('Seaborne Supply'!E41=0,0,('FOB Cost'!E41/(1-Assumptions!$E41/100)+'Freight to Qingdao'!E45)/(1-Assumptions!$D41/100))</f>
        <v>79.383695652173913</v>
      </c>
      <c r="F42" s="33">
        <f>IF('Seaborne Supply'!F41=0,0,('FOB Cost'!F41/(1-Assumptions!$E41/100)+'Freight to Qingdao'!F45)/(1-Assumptions!$D41/100))</f>
        <v>83.346739130434784</v>
      </c>
      <c r="G42" s="33">
        <f>IF('Seaborne Supply'!G41=0,0,('FOB Cost'!G41/(1-Assumptions!$E41/100)+'Freight to Qingdao'!G45)/(1-Assumptions!$D41/100))</f>
        <v>73.95</v>
      </c>
      <c r="H42" s="33">
        <f>IF('Seaborne Supply'!H41=0,0,('FOB Cost'!H41/(1-Assumptions!$E41/100)+'Freight to Qingdao'!H45)/(1-Assumptions!$D41/100))</f>
        <v>50.399999999999991</v>
      </c>
      <c r="I42" s="33">
        <f>IF('Seaborne Supply'!I41=0,0,('FOB Cost'!I41/(1-Assumptions!$E41/100)+'Freight to Qingdao'!I45)/(1-Assumptions!$D41/100))</f>
        <v>45.216304347826089</v>
      </c>
      <c r="J42" s="33">
        <f>IF('Seaborne Supply'!J41=0,0,('FOB Cost'!J41/(1-Assumptions!$E41/100)+'Freight to Qingdao'!J45)/(1-Assumptions!$D41/100))</f>
        <v>52.204347826086952</v>
      </c>
      <c r="K42" s="33">
        <f>IF('Seaborne Supply'!K41=0,0,('FOB Cost'!K41/(1-Assumptions!$E41/100)+'Freight to Qingdao'!K45)/(1-Assumptions!$D41/100))</f>
        <v>85.734782608695653</v>
      </c>
      <c r="L42" s="33">
        <f>IF('Seaborne Supply'!L41=0,0,('FOB Cost'!L41/(1-Assumptions!$E41/100)+'Freight to Qingdao'!L45)/(1-Assumptions!$D41/100))</f>
        <v>72.123913043478254</v>
      </c>
      <c r="M42" s="33">
        <f>IF('Seaborne Supply'!M41=0,0,('FOB Cost'!M41/(1-Assumptions!$E41/100)+'Freight to Qingdao'!M45)/(1-Assumptions!$D41/100))</f>
        <v>81.382608695652166</v>
      </c>
      <c r="N42" s="33">
        <f>IF('Seaborne Supply'!N41=0,0,('FOB Cost'!N41/(1-Assumptions!$E41/100)+'Freight to Qingdao'!N45)/(1-Assumptions!$D41/100))</f>
        <v>76.916304347826085</v>
      </c>
      <c r="O42" s="33">
        <f>IF('Seaborne Supply'!O41=0,0,('FOB Cost'!O41/(1-Assumptions!$E41/100)+'Freight to Qingdao'!O45)/(1-Assumptions!$D41/100))</f>
        <v>79.739130434782609</v>
      </c>
      <c r="P42" s="33">
        <f>IF('Seaborne Supply'!P41=0,0,('FOB Cost'!P41/(1-Assumptions!$E41/100)+'Freight to Qingdao'!P45)/(1-Assumptions!$D41/100))</f>
        <v>79.010869565217391</v>
      </c>
      <c r="Q42" s="33">
        <f>IF('Seaborne Supply'!Q41=0,0,('FOB Cost'!Q41/(1-Assumptions!$E41/100)+'Freight to Qingdao'!Q45)/(1-Assumptions!$D41/100))</f>
        <v>88.532608695652172</v>
      </c>
      <c r="R42" s="33">
        <f>IF('Seaborne Supply'!R41=0,0,('FOB Cost'!R41/(1-Assumptions!$E41/100)+'Freight to Qingdao'!R45)/(1-Assumptions!$D41/100))</f>
        <v>77.924999999999997</v>
      </c>
      <c r="S42" s="33">
        <f>IF('Seaborne Supply'!S41=0,0,('FOB Cost'!S41/(1-Assumptions!$E41/100)+'Freight to Qingdao'!S45)/(1-Assumptions!$D41/100))</f>
        <v>83.793478260869563</v>
      </c>
      <c r="T42" s="33">
        <f>IF('Seaborne Supply'!T41=0,0,('FOB Cost'!T41/(1-Assumptions!$E41/100)+'Freight to Qingdao'!T45)/(1-Assumptions!$D41/100))</f>
        <v>76.298913043478251</v>
      </c>
      <c r="U42" s="33">
        <f>IF('Seaborne Supply'!U41=0,0,('FOB Cost'!U41/(1-Assumptions!$E41/100)+'Freight to Qingdao'!U45)/(1-Assumptions!$D41/100))</f>
        <v>72.986956521739117</v>
      </c>
      <c r="V42" s="33">
        <f>IF('Seaborne Supply'!V41=0,0,('FOB Cost'!V41/(1-Assumptions!$E41/100)+'Freight to Qingdao'!V45)/(1-Assumptions!$D41/100))</f>
        <v>70.545652173913041</v>
      </c>
      <c r="W42" s="33">
        <f>IF('Seaborne Supply'!W41=0,0,('FOB Cost'!W41/(1-Assumptions!$E41/100)+'Freight to Qingdao'!W45)/(1-Assumptions!$D41/100))</f>
        <v>71.910869565217396</v>
      </c>
      <c r="X42" s="33">
        <f>IF('Seaborne Supply'!X41=0,0,('FOB Cost'!X41/(1-Assumptions!$E41/100)+'Freight to Qingdao'!X45)/(1-Assumptions!$D41/100))</f>
        <v>73.372826086956522</v>
      </c>
      <c r="Y42" s="33">
        <f>IF('Seaborne Supply'!Y41=0,0,('FOB Cost'!Y41/(1-Assumptions!$E41/100)+'Freight to Qingdao'!Y45)/(1-Assumptions!$D41/100))</f>
        <v>74.84673913043477</v>
      </c>
      <c r="Z42" s="33">
        <f>IF('Seaborne Supply'!Z41=0,0,('FOB Cost'!Z41/(1-Assumptions!$E41/100)+'Freight to Qingdao'!Z45)/(1-Assumptions!$D41/100))</f>
        <v>76.308695652173924</v>
      </c>
      <c r="AA42" s="33">
        <f>IF('Seaborne Supply'!AA41=0,0,('FOB Cost'!AA41/(1-Assumptions!$E41/100)+'Freight to Qingdao'!AA45)/(1-Assumptions!$D41/100))</f>
        <v>77.879347826086956</v>
      </c>
      <c r="AB42" s="33">
        <f>IF('Seaborne Supply'!AB41=0,0,('FOB Cost'!AB41/(1-Assumptions!$E41/100)+'Freight to Qingdao'!AB45)/(1-Assumptions!$D41/100))</f>
        <v>79.45</v>
      </c>
    </row>
    <row r="43" spans="1:28" x14ac:dyDescent="0.2">
      <c r="A43" s="7" t="s">
        <v>224</v>
      </c>
      <c r="B43" s="7"/>
      <c r="C43" s="33">
        <f>IF('Seaborne Supply'!C42=0,0,('FOB Cost'!C42/(1-Assumptions!$E42/100)+'Freight to Qingdao'!C46)/(1-Assumptions!$D42/100))</f>
        <v>83.565217391304344</v>
      </c>
      <c r="D43" s="33">
        <f>IF('Seaborne Supply'!D42=0,0,('FOB Cost'!D42/(1-Assumptions!$E42/100)+'Freight to Qingdao'!D46)/(1-Assumptions!$D42/100))</f>
        <v>87.554347826086953</v>
      </c>
      <c r="E43" s="33">
        <f>IF('Seaborne Supply'!E42=0,0,('FOB Cost'!E42/(1-Assumptions!$E42/100)+'Freight to Qingdao'!E46)/(1-Assumptions!$D42/100))</f>
        <v>88.076086956521735</v>
      </c>
      <c r="F43" s="33">
        <f>IF('Seaborne Supply'!F42=0,0,('FOB Cost'!F42/(1-Assumptions!$E42/100)+'Freight to Qingdao'!F46)/(1-Assumptions!$D42/100))</f>
        <v>92.054347826086953</v>
      </c>
      <c r="G43" s="33">
        <f>IF('Seaborne Supply'!G42=0,0,('FOB Cost'!G42/(1-Assumptions!$E42/100)+'Freight to Qingdao'!G46)/(1-Assumptions!$D42/100))</f>
        <v>82.652173913043484</v>
      </c>
      <c r="H43" s="33">
        <f>IF('Seaborne Supply'!H42=0,0,('FOB Cost'!H42/(1-Assumptions!$E42/100)+'Freight to Qingdao'!H46)/(1-Assumptions!$D42/100))</f>
        <v>59</v>
      </c>
      <c r="I43" s="33">
        <f>IF('Seaborne Supply'!I42=0,0,('FOB Cost'!I42/(1-Assumptions!$E42/100)+'Freight to Qingdao'!I46)/(1-Assumptions!$D42/100))</f>
        <v>53.793478260869556</v>
      </c>
      <c r="J43" s="33">
        <f>IF('Seaborne Supply'!J42=0,0,('FOB Cost'!J42/(1-Assumptions!$E42/100)+'Freight to Qingdao'!J46)/(1-Assumptions!$D42/100))</f>
        <v>60.847826086956516</v>
      </c>
      <c r="K43" s="33">
        <f>IF('Seaborne Supply'!K42=0,0,('FOB Cost'!K42/(1-Assumptions!$E42/100)+'Freight to Qingdao'!K46)/(1-Assumptions!$D42/100))</f>
        <v>94.41304347826086</v>
      </c>
      <c r="L43" s="33">
        <f>IF('Seaborne Supply'!L42=0,0,('FOB Cost'!L42/(1-Assumptions!$E42/100)+'Freight to Qingdao'!L46)/(1-Assumptions!$D42/100))</f>
        <v>80.804347826086953</v>
      </c>
      <c r="M43" s="33">
        <f>IF('Seaborne Supply'!M42=0,0,('FOB Cost'!M42/(1-Assumptions!$E42/100)+'Freight to Qingdao'!M46)/(1-Assumptions!$D42/100))</f>
        <v>90.021739130434767</v>
      </c>
      <c r="N43" s="33">
        <f>IF('Seaborne Supply'!N42=0,0,('FOB Cost'!N42/(1-Assumptions!$E42/100)+'Freight to Qingdao'!N46)/(1-Assumptions!$D42/100))</f>
        <v>85.684782608695642</v>
      </c>
      <c r="O43" s="33">
        <f>IF('Seaborne Supply'!O42=0,0,('FOB Cost'!O42/(1-Assumptions!$E42/100)+'Freight to Qingdao'!O46)/(1-Assumptions!$D42/100))</f>
        <v>88.478260869565219</v>
      </c>
      <c r="P43" s="33">
        <f>IF('Seaborne Supply'!P42=0,0,('FOB Cost'!P42/(1-Assumptions!$E42/100)+'Freight to Qingdao'!P46)/(1-Assumptions!$D42/100))</f>
        <v>87.717391304347828</v>
      </c>
      <c r="Q43" s="33">
        <f>IF('Seaborne Supply'!Q42=0,0,('FOB Cost'!Q42/(1-Assumptions!$E42/100)+'Freight to Qingdao'!Q46)/(1-Assumptions!$D42/100))</f>
        <v>97.282608695652172</v>
      </c>
      <c r="R43" s="33">
        <f>IF('Seaborne Supply'!R42=0,0,('FOB Cost'!R42/(1-Assumptions!$E42/100)+'Freight to Qingdao'!R46)/(1-Assumptions!$D42/100))</f>
        <v>86.641304347826093</v>
      </c>
      <c r="S43" s="33">
        <f>IF('Seaborne Supply'!S42=0,0,('FOB Cost'!S42/(1-Assumptions!$E42/100)+'Freight to Qingdao'!S46)/(1-Assumptions!$D42/100))</f>
        <v>92.608695652173907</v>
      </c>
      <c r="T43" s="33">
        <f>IF('Seaborne Supply'!T42=0,0,('FOB Cost'!T42/(1-Assumptions!$E42/100)+'Freight to Qingdao'!T46)/(1-Assumptions!$D42/100))</f>
        <v>85.054347826086953</v>
      </c>
      <c r="U43" s="33">
        <f>IF('Seaborne Supply'!U42=0,0,('FOB Cost'!U42/(1-Assumptions!$E42/100)+'Freight to Qingdao'!U46)/(1-Assumptions!$D42/100))</f>
        <v>81.717391304347814</v>
      </c>
      <c r="V43" s="33">
        <f>IF('Seaborne Supply'!V42=0,0,('FOB Cost'!V42/(1-Assumptions!$E42/100)+'Freight to Qingdao'!V46)/(1-Assumptions!$D42/100))</f>
        <v>79.260869565217391</v>
      </c>
      <c r="W43" s="33">
        <f>IF('Seaborne Supply'!W42=0,0,('FOB Cost'!W42/(1-Assumptions!$E42/100)+'Freight to Qingdao'!W46)/(1-Assumptions!$D42/100))</f>
        <v>80.630434782608702</v>
      </c>
      <c r="X43" s="33">
        <f>IF('Seaborne Supply'!X42=0,0,('FOB Cost'!X42/(1-Assumptions!$E42/100)+'Freight to Qingdao'!X46)/(1-Assumptions!$D42/100))</f>
        <v>82.097826086956516</v>
      </c>
      <c r="Y43" s="33">
        <f>IF('Seaborne Supply'!Y42=0,0,('FOB Cost'!Y42/(1-Assumptions!$E42/100)+'Freight to Qingdao'!Y46)/(1-Assumptions!$D42/100))</f>
        <v>83.576086956521735</v>
      </c>
      <c r="Z43" s="33">
        <f>IF('Seaborne Supply'!Z42=0,0,('FOB Cost'!Z42/(1-Assumptions!$E42/100)+'Freight to Qingdao'!Z46)/(1-Assumptions!$D42/100))</f>
        <v>85.043478260869577</v>
      </c>
      <c r="AA43" s="33">
        <f>IF('Seaborne Supply'!AA42=0,0,('FOB Cost'!AA42/(1-Assumptions!$E42/100)+'Freight to Qingdao'!AA46)/(1-Assumptions!$D42/100))</f>
        <v>86.619565217391298</v>
      </c>
      <c r="AB43" s="33">
        <f>IF('Seaborne Supply'!AB42=0,0,('FOB Cost'!AB42/(1-Assumptions!$E42/100)+'Freight to Qingdao'!AB46)/(1-Assumptions!$D42/100))</f>
        <v>88.195652173913047</v>
      </c>
    </row>
    <row r="44" spans="1:28" x14ac:dyDescent="0.2">
      <c r="A44" s="7" t="s">
        <v>127</v>
      </c>
      <c r="B44" s="7"/>
      <c r="C44" s="33">
        <f>IF('Seaborne Supply'!C43=0,0,('FOB Cost'!C43/(1-Assumptions!$E43/100)+'Freight to Qingdao'!C47)/(1-Assumptions!$D43/100))</f>
        <v>61.045427728613575</v>
      </c>
      <c r="D44" s="33">
        <f>IF('Seaborne Supply'!D43=0,0,('FOB Cost'!D43/(1-Assumptions!$E43/100)+'Freight to Qingdao'!D47)/(1-Assumptions!$D43/100))</f>
        <v>73.00361356932153</v>
      </c>
      <c r="E44" s="33">
        <f>IF('Seaborne Supply'!E43=0,0,('FOB Cost'!E43/(1-Assumptions!$E43/100)+'Freight to Qingdao'!E47)/(1-Assumptions!$D43/100))</f>
        <v>121.71972713864307</v>
      </c>
      <c r="F44" s="33">
        <f>IF('Seaborne Supply'!F43=0,0,('FOB Cost'!F43/(1-Assumptions!$E43/100)+'Freight to Qingdao'!F47)/(1-Assumptions!$D43/100))</f>
        <v>70.834955752212409</v>
      </c>
      <c r="G44" s="33">
        <f>IF('Seaborne Supply'!G43=0,0,('FOB Cost'!G43/(1-Assumptions!$E43/100)+'Freight to Qingdao'!G47)/(1-Assumptions!$D43/100))</f>
        <v>64.430420353982299</v>
      </c>
      <c r="H44" s="33">
        <f>IF('Seaborne Supply'!H43=0,0,('FOB Cost'!H43/(1-Assumptions!$E43/100)+'Freight to Qingdao'!H47)/(1-Assumptions!$D43/100))</f>
        <v>46.905862831858414</v>
      </c>
      <c r="I44" s="33">
        <f>IF('Seaborne Supply'!I43=0,0,('FOB Cost'!I43/(1-Assumptions!$E43/100)+'Freight to Qingdao'!I47)/(1-Assumptions!$D43/100))</f>
        <v>39.213126843657818</v>
      </c>
      <c r="J44" s="33">
        <f>IF('Seaborne Supply'!J43=0,0,('FOB Cost'!J43/(1-Assumptions!$E43/100)+'Freight to Qingdao'!J47)/(1-Assumptions!$D43/100))</f>
        <v>47.120538348082604</v>
      </c>
      <c r="K44" s="33">
        <f>IF('Seaborne Supply'!K43=0,0,('FOB Cost'!K43/(1-Assumptions!$E43/100)+'Freight to Qingdao'!K47)/(1-Assumptions!$D43/100))</f>
        <v>42.686688790560474</v>
      </c>
      <c r="L44" s="33">
        <f>IF('Seaborne Supply'!L43=0,0,('FOB Cost'!L43/(1-Assumptions!$E43/100)+'Freight to Qingdao'!L47)/(1-Assumptions!$D43/100))</f>
        <v>45.214823008849557</v>
      </c>
      <c r="M44" s="33">
        <f>IF('Seaborne Supply'!M43=0,0,('FOB Cost'!M43/(1-Assumptions!$E43/100)+'Freight to Qingdao'!M47)/(1-Assumptions!$D43/100))</f>
        <v>57.382780235988207</v>
      </c>
      <c r="N44" s="33">
        <f>IF('Seaborne Supply'!N43=0,0,('FOB Cost'!N43/(1-Assumptions!$E43/100)+'Freight to Qingdao'!N47)/(1-Assumptions!$D43/100))</f>
        <v>61.619579646017705</v>
      </c>
      <c r="O44" s="33">
        <f>IF('Seaborne Supply'!O43=0,0,('FOB Cost'!O43/(1-Assumptions!$E43/100)+'Freight to Qingdao'!O47)/(1-Assumptions!$D43/100))</f>
        <v>106.01906342182892</v>
      </c>
      <c r="P44" s="33">
        <f>IF('Seaborne Supply'!P43=0,0,('FOB Cost'!P43/(1-Assumptions!$E43/100)+'Freight to Qingdao'!P47)/(1-Assumptions!$D43/100))</f>
        <v>68.422050147492627</v>
      </c>
      <c r="Q44" s="33">
        <f>IF('Seaborne Supply'!Q43=0,0,('FOB Cost'!Q43/(1-Assumptions!$E43/100)+'Freight to Qingdao'!Q47)/(1-Assumptions!$D43/100))</f>
        <v>67.173230088495572</v>
      </c>
      <c r="R44" s="33">
        <f>IF('Seaborne Supply'!R43=0,0,('FOB Cost'!R43/(1-Assumptions!$E43/100)+'Freight to Qingdao'!R47)/(1-Assumptions!$D43/100))</f>
        <v>84.872160766961642</v>
      </c>
      <c r="S44" s="33">
        <f>IF('Seaborne Supply'!S43=0,0,('FOB Cost'!S43/(1-Assumptions!$E43/100)+'Freight to Qingdao'!S47)/(1-Assumptions!$D43/100))</f>
        <v>58.94174041297935</v>
      </c>
      <c r="T44" s="33">
        <f>IF('Seaborne Supply'!T43=0,0,('FOB Cost'!T43/(1-Assumptions!$E43/100)+'Freight to Qingdao'!T47)/(1-Assumptions!$D43/100))</f>
        <v>57.100073746312681</v>
      </c>
      <c r="U44" s="33">
        <f>IF('Seaborne Supply'!U43=0,0,('FOB Cost'!U43/(1-Assumptions!$E43/100)+'Freight to Qingdao'!U47)/(1-Assumptions!$D43/100))</f>
        <v>0</v>
      </c>
      <c r="V44" s="33">
        <f>IF('Seaborne Supply'!V43=0,0,('FOB Cost'!V43/(1-Assumptions!$E43/100)+'Freight to Qingdao'!V47)/(1-Assumptions!$D43/100))</f>
        <v>0</v>
      </c>
      <c r="W44" s="33">
        <f>IF('Seaborne Supply'!W43=0,0,('FOB Cost'!W43/(1-Assumptions!$E43/100)+'Freight to Qingdao'!W47)/(1-Assumptions!$D43/100))</f>
        <v>0</v>
      </c>
      <c r="X44" s="33">
        <f>IF('Seaborne Supply'!X43=0,0,('FOB Cost'!X43/(1-Assumptions!$E43/100)+'Freight to Qingdao'!X47)/(1-Assumptions!$D43/100))</f>
        <v>0</v>
      </c>
      <c r="Y44" s="33">
        <f>IF('Seaborne Supply'!Y43=0,0,('FOB Cost'!Y43/(1-Assumptions!$E43/100)+'Freight to Qingdao'!Y47)/(1-Assumptions!$D43/100))</f>
        <v>0</v>
      </c>
      <c r="Z44" s="33">
        <f>IF('Seaborne Supply'!Z43=0,0,('FOB Cost'!Z43/(1-Assumptions!$E43/100)+'Freight to Qingdao'!Z47)/(1-Assumptions!$D43/100))</f>
        <v>0</v>
      </c>
      <c r="AA44" s="33">
        <f>IF('Seaborne Supply'!AA43=0,0,('FOB Cost'!AA43/(1-Assumptions!$E43/100)+'Freight to Qingdao'!AA47)/(1-Assumptions!$D43/100))</f>
        <v>0</v>
      </c>
      <c r="AB44" s="33">
        <f>IF('Seaborne Supply'!AB43=0,0,('FOB Cost'!AB43/(1-Assumptions!$E43/100)+'Freight to Qingdao'!AB47)/(1-Assumptions!$D43/100))</f>
        <v>0</v>
      </c>
    </row>
    <row r="45" spans="1:28" x14ac:dyDescent="0.2">
      <c r="A45" s="7" t="s">
        <v>130</v>
      </c>
      <c r="B45" s="7"/>
      <c r="C45" s="33">
        <f>IF('Seaborne Supply'!C44=0,0,('FOB Cost'!C44/(1-Assumptions!$E44/100)+'Freight to Qingdao'!C48)/(1-Assumptions!$D44/100))</f>
        <v>93.724212523915952</v>
      </c>
      <c r="D45" s="33">
        <f>IF('Seaborne Supply'!D44=0,0,('FOB Cost'!D44/(1-Assumptions!$E44/100)+'Freight to Qingdao'!D48)/(1-Assumptions!$D44/100))</f>
        <v>131.51273805758493</v>
      </c>
      <c r="E45" s="33">
        <f>IF('Seaborne Supply'!E44=0,0,('FOB Cost'!E44/(1-Assumptions!$E44/100)+'Freight to Qingdao'!E48)/(1-Assumptions!$D44/100))</f>
        <v>126.16183301099746</v>
      </c>
      <c r="F45" s="33">
        <f>IF('Seaborne Supply'!F44=0,0,('FOB Cost'!F44/(1-Assumptions!$E44/100)+'Freight to Qingdao'!F48)/(1-Assumptions!$D44/100))</f>
        <v>134.15471915297388</v>
      </c>
      <c r="G45" s="33">
        <f>IF('Seaborne Supply'!G44=0,0,('FOB Cost'!G44/(1-Assumptions!$E44/100)+'Freight to Qingdao'!G48)/(1-Assumptions!$D44/100))</f>
        <v>93.757792837402718</v>
      </c>
      <c r="H45" s="33">
        <f>IF('Seaborne Supply'!H44=0,0,('FOB Cost'!H44/(1-Assumptions!$E44/100)+'Freight to Qingdao'!H48)/(1-Assumptions!$D44/100))</f>
        <v>67.910935741951548</v>
      </c>
      <c r="I45" s="33">
        <f>IF('Seaborne Supply'!I44=0,0,('FOB Cost'!I44/(1-Assumptions!$E44/100)+'Freight to Qingdao'!I48)/(1-Assumptions!$D44/100))</f>
        <v>68.115159465527341</v>
      </c>
      <c r="J45" s="33">
        <f>IF('Seaborne Supply'!J44=0,0,('FOB Cost'!J44/(1-Assumptions!$E44/100)+'Freight to Qingdao'!J48)/(1-Assumptions!$D44/100))</f>
        <v>89.547593887889334</v>
      </c>
      <c r="K45" s="33">
        <f>IF('Seaborne Supply'!K44=0,0,('FOB Cost'!K44/(1-Assumptions!$E44/100)+'Freight to Qingdao'!K48)/(1-Assumptions!$D44/100))</f>
        <v>87.998440343663631</v>
      </c>
      <c r="L45" s="33">
        <f>IF('Seaborne Supply'!L44=0,0,('FOB Cost'!L44/(1-Assumptions!$E44/100)+'Freight to Qingdao'!L48)/(1-Assumptions!$D44/100))</f>
        <v>94.376818778096379</v>
      </c>
      <c r="M45" s="33">
        <f>IF('Seaborne Supply'!M44=0,0,('FOB Cost'!M44/(1-Assumptions!$E44/100)+'Freight to Qingdao'!M48)/(1-Assumptions!$D44/100))</f>
        <v>81.821108247823588</v>
      </c>
      <c r="N45" s="33">
        <f>IF('Seaborne Supply'!N44=0,0,('FOB Cost'!N44/(1-Assumptions!$E44/100)+'Freight to Qingdao'!N48)/(1-Assumptions!$D44/100))</f>
        <v>96.58948165277944</v>
      </c>
      <c r="O45" s="33">
        <f>IF('Seaborne Supply'!O44=0,0,('FOB Cost'!O44/(1-Assumptions!$E44/100)+'Freight to Qingdao'!O48)/(1-Assumptions!$D44/100))</f>
        <v>102.48293762930163</v>
      </c>
      <c r="P45" s="33">
        <f>IF('Seaborne Supply'!P44=0,0,('FOB Cost'!P44/(1-Assumptions!$E44/100)+'Freight to Qingdao'!P48)/(1-Assumptions!$D44/100))</f>
        <v>107.76213374260486</v>
      </c>
      <c r="Q45" s="33">
        <f>IF('Seaborne Supply'!Q44=0,0,('FOB Cost'!Q44/(1-Assumptions!$E44/100)+'Freight to Qingdao'!Q48)/(1-Assumptions!$D44/100))</f>
        <v>115.75819726956442</v>
      </c>
      <c r="R45" s="33">
        <f>IF('Seaborne Supply'!R44=0,0,('FOB Cost'!R44/(1-Assumptions!$E44/100)+'Freight to Qingdao'!R48)/(1-Assumptions!$D44/100))</f>
        <v>124.35739981230201</v>
      </c>
      <c r="S45" s="33">
        <f>IF('Seaborne Supply'!S44=0,0,('FOB Cost'!S44/(1-Assumptions!$E44/100)+'Freight to Qingdao'!S48)/(1-Assumptions!$D44/100))</f>
        <v>126.56211922452727</v>
      </c>
      <c r="T45" s="33">
        <f>IF('Seaborne Supply'!T44=0,0,('FOB Cost'!T44/(1-Assumptions!$E44/100)+'Freight to Qingdao'!T48)/(1-Assumptions!$D44/100))</f>
        <v>126.08196284409141</v>
      </c>
      <c r="U45" s="33">
        <f>IF('Seaborne Supply'!U44=0,0,('FOB Cost'!U44/(1-Assumptions!$E44/100)+'Freight to Qingdao'!U48)/(1-Assumptions!$D44/100))</f>
        <v>127.32160341797028</v>
      </c>
      <c r="V45" s="33">
        <f>IF('Seaborne Supply'!V44=0,0,('FOB Cost'!V44/(1-Assumptions!$E44/100)+'Freight to Qingdao'!V48)/(1-Assumptions!$D44/100))</f>
        <v>128.87393434717907</v>
      </c>
      <c r="W45" s="33">
        <f>IF('Seaborne Supply'!W44=0,0,('FOB Cost'!W44/(1-Assumptions!$E44/100)+'Freight to Qingdao'!W48)/(1-Assumptions!$D44/100))</f>
        <v>131.4680368966572</v>
      </c>
      <c r="X45" s="33">
        <f>IF('Seaborne Supply'!X44=0,0,('FOB Cost'!X44/(1-Assumptions!$E44/100)+'Freight to Qingdao'!X48)/(1-Assumptions!$D44/100))</f>
        <v>134.06213944613535</v>
      </c>
      <c r="Y45" s="33">
        <f>IF('Seaborne Supply'!Y44=0,0,('FOB Cost'!Y44/(1-Assumptions!$E44/100)+'Freight to Qingdao'!Y48)/(1-Assumptions!$D44/100))</f>
        <v>136.75994254989294</v>
      </c>
      <c r="Z45" s="33">
        <f>IF('Seaborne Supply'!Z44=0,0,('FOB Cost'!Z44/(1-Assumptions!$E44/100)+'Freight to Qingdao'!Z48)/(1-Assumptions!$D44/100))</f>
        <v>139.45774565365053</v>
      </c>
      <c r="AA45" s="33">
        <f>IF('Seaborne Supply'!AA44=0,0,('FOB Cost'!AA44/(1-Assumptions!$E44/100)+'Freight to Qingdao'!AA48)/(1-Assumptions!$D44/100))</f>
        <v>142.25924931168757</v>
      </c>
      <c r="AB45" s="33">
        <f>IF('Seaborne Supply'!AB44=0,0,('FOB Cost'!AB44/(1-Assumptions!$E44/100)+'Freight to Qingdao'!AB48)/(1-Assumptions!$D44/100))</f>
        <v>145.06075296972463</v>
      </c>
    </row>
    <row r="46" spans="1:28" x14ac:dyDescent="0.2">
      <c r="A46" s="7" t="s">
        <v>249</v>
      </c>
      <c r="B46" s="7"/>
      <c r="C46" s="33">
        <f>IF('Seaborne Supply'!C45=0,0,('FOB Cost'!C45/(1-Assumptions!$E45/100)+'Freight to Qingdao'!C49)/(1-Assumptions!$D45/100))</f>
        <v>65.150493986254304</v>
      </c>
      <c r="D46" s="33">
        <f>IF('Seaborne Supply'!D45=0,0,('FOB Cost'!D45/(1-Assumptions!$E45/100)+'Freight to Qingdao'!D49)/(1-Assumptions!$D45/100))</f>
        <v>66.627201460481103</v>
      </c>
      <c r="E46" s="33">
        <f>IF('Seaborne Supply'!E45=0,0,('FOB Cost'!E45/(1-Assumptions!$E45/100)+'Freight to Qingdao'!E49)/(1-Assumptions!$D45/100))</f>
        <v>64.755251288659792</v>
      </c>
      <c r="F46" s="33">
        <f>IF('Seaborne Supply'!F45=0,0,('FOB Cost'!F45/(1-Assumptions!$E45/100)+'Freight to Qingdao'!F49)/(1-Assumptions!$D45/100))</f>
        <v>64.080401632302411</v>
      </c>
      <c r="G46" s="33">
        <f>IF('Seaborne Supply'!G45=0,0,('FOB Cost'!G45/(1-Assumptions!$E45/100)+'Freight to Qingdao'!G49)/(1-Assumptions!$D45/100))</f>
        <v>58.184944158075602</v>
      </c>
      <c r="H46" s="33">
        <f>IF('Seaborne Supply'!H45=0,0,('FOB Cost'!H45/(1-Assumptions!$E45/100)+'Freight to Qingdao'!H49)/(1-Assumptions!$D45/100))</f>
        <v>0</v>
      </c>
      <c r="I46" s="33">
        <f>IF('Seaborne Supply'!I45=0,0,('FOB Cost'!I45/(1-Assumptions!$E45/100)+'Freight to Qingdao'!I49)/(1-Assumptions!$D45/100))</f>
        <v>40.716570017182129</v>
      </c>
      <c r="J46" s="33">
        <f>IF('Seaborne Supply'!J45=0,0,('FOB Cost'!J45/(1-Assumptions!$E45/100)+'Freight to Qingdao'!J49)/(1-Assumptions!$D45/100))</f>
        <v>49.282044673539517</v>
      </c>
      <c r="K46" s="33">
        <f>IF('Seaborne Supply'!K45=0,0,('FOB Cost'!K45/(1-Assumptions!$E45/100)+'Freight to Qingdao'!K49)/(1-Assumptions!$D45/100))</f>
        <v>51.574828178694162</v>
      </c>
      <c r="L46" s="33">
        <f>IF('Seaborne Supply'!L45=0,0,('FOB Cost'!L45/(1-Assumptions!$E45/100)+'Freight to Qingdao'!L49)/(1-Assumptions!$D45/100))</f>
        <v>51.785244845360829</v>
      </c>
      <c r="M46" s="33">
        <f>IF('Seaborne Supply'!M45=0,0,('FOB Cost'!M45/(1-Assumptions!$E45/100)+'Freight to Qingdao'!M49)/(1-Assumptions!$D45/100))</f>
        <v>45.639561855670109</v>
      </c>
      <c r="N46" s="33">
        <f>IF('Seaborne Supply'!N45=0,0,('FOB Cost'!N45/(1-Assumptions!$E45/100)+'Freight to Qingdao'!N49)/(1-Assumptions!$D45/100))</f>
        <v>62.454886168384881</v>
      </c>
      <c r="O46" s="33">
        <f>IF('Seaborne Supply'!O45=0,0,('FOB Cost'!O45/(1-Assumptions!$E45/100)+'Freight to Qingdao'!O49)/(1-Assumptions!$D45/100))</f>
        <v>62.835910652920965</v>
      </c>
      <c r="P46" s="33">
        <f>IF('Seaborne Supply'!P45=0,0,('FOB Cost'!P45/(1-Assumptions!$E45/100)+'Freight to Qingdao'!P49)/(1-Assumptions!$D45/100))</f>
        <v>60.753543814432994</v>
      </c>
      <c r="Q46" s="33">
        <f>IF('Seaborne Supply'!Q45=0,0,('FOB Cost'!Q45/(1-Assumptions!$E45/100)+'Freight to Qingdao'!Q49)/(1-Assumptions!$D45/100))</f>
        <v>63.887993986254294</v>
      </c>
      <c r="R46" s="33">
        <f>IF('Seaborne Supply'!R45=0,0,('FOB Cost'!R45/(1-Assumptions!$E45/100)+'Freight to Qingdao'!R49)/(1-Assumptions!$D45/100))</f>
        <v>59.552652491408942</v>
      </c>
      <c r="S46" s="33">
        <f>IF('Seaborne Supply'!S45=0,0,('FOB Cost'!S45/(1-Assumptions!$E45/100)+'Freight to Qingdao'!S49)/(1-Assumptions!$D45/100))</f>
        <v>69.878329037800682</v>
      </c>
      <c r="T46" s="33">
        <f>IF('Seaborne Supply'!T45=0,0,('FOB Cost'!T45/(1-Assumptions!$E45/100)+'Freight to Qingdao'!T49)/(1-Assumptions!$D45/100))</f>
        <v>64.843588917525764</v>
      </c>
      <c r="U46" s="33">
        <f>IF('Seaborne Supply'!U45=0,0,('FOB Cost'!U45/(1-Assumptions!$E45/100)+'Freight to Qingdao'!U49)/(1-Assumptions!$D45/100))</f>
        <v>63.175515463917534</v>
      </c>
      <c r="V46" s="33">
        <f>IF('Seaborne Supply'!V45=0,0,('FOB Cost'!V45/(1-Assumptions!$E45/100)+'Freight to Qingdao'!V49)/(1-Assumptions!$D45/100))</f>
        <v>62.454317010309282</v>
      </c>
      <c r="W46" s="33">
        <f>IF('Seaborne Supply'!W45=0,0,('FOB Cost'!W45/(1-Assumptions!$E45/100)+'Freight to Qingdao'!W49)/(1-Assumptions!$D45/100))</f>
        <v>63.626868556701027</v>
      </c>
      <c r="X46" s="33">
        <f>IF('Seaborne Supply'!X45=0,0,('FOB Cost'!X45/(1-Assumptions!$E45/100)+'Freight to Qingdao'!X49)/(1-Assumptions!$D45/100))</f>
        <v>65.01201675257731</v>
      </c>
      <c r="Y46" s="33">
        <f>IF('Seaborne Supply'!Y45=0,0,('FOB Cost'!Y45/(1-Assumptions!$E45/100)+'Freight to Qingdao'!Y49)/(1-Assumptions!$D45/100))</f>
        <v>66.291956615120284</v>
      </c>
      <c r="Z46" s="33">
        <f>IF('Seaborne Supply'!Z45=0,0,('FOB Cost'!Z45/(1-Assumptions!$E45/100)+'Freight to Qingdao'!Z49)/(1-Assumptions!$D45/100))</f>
        <v>67.569716494845352</v>
      </c>
      <c r="AA46" s="33">
        <f>IF('Seaborne Supply'!AA45=0,0,('FOB Cost'!AA45/(1-Assumptions!$E45/100)+'Freight to Qingdao'!AA49)/(1-Assumptions!$D45/100))</f>
        <v>68.954864690721649</v>
      </c>
      <c r="AB46" s="33">
        <f>IF('Seaborne Supply'!AB45=0,0,('FOB Cost'!AB45/(1-Assumptions!$E45/100)+'Freight to Qingdao'!AB49)/(1-Assumptions!$D45/100))</f>
        <v>70.340012886597933</v>
      </c>
    </row>
    <row r="47" spans="1:28" x14ac:dyDescent="0.2">
      <c r="A47" s="7" t="s">
        <v>250</v>
      </c>
      <c r="B47" s="7"/>
      <c r="C47" s="33">
        <f>IF('Seaborne Supply'!C46=0,0,('FOB Cost'!C46/(1-Assumptions!$E46/100)+'Freight to Qingdao'!C50)/(1-Assumptions!$D46/100))</f>
        <v>73.261742381330009</v>
      </c>
      <c r="D47" s="33">
        <f>IF('Seaborne Supply'!D46=0,0,('FOB Cost'!D46/(1-Assumptions!$E46/100)+'Freight to Qingdao'!D50)/(1-Assumptions!$D46/100))</f>
        <v>74.819587628865975</v>
      </c>
      <c r="E47" s="33">
        <f>IF('Seaborne Supply'!E46=0,0,('FOB Cost'!E46/(1-Assumptions!$E46/100)+'Freight to Qingdao'!E50)/(1-Assumptions!$D46/100))</f>
        <v>72.844783051999542</v>
      </c>
      <c r="F47" s="33">
        <f>IF('Seaborne Supply'!F46=0,0,('FOB Cost'!F46/(1-Assumptions!$E46/100)+'Freight to Qingdao'!F50)/(1-Assumptions!$D46/100))</f>
        <v>72.132853744193952</v>
      </c>
      <c r="G47" s="33">
        <f>IF('Seaborne Supply'!G46=0,0,('FOB Cost'!G46/(1-Assumptions!$E46/100)+'Freight to Qingdao'!G50)/(1-Assumptions!$D46/100))</f>
        <v>68.179245496771273</v>
      </c>
      <c r="H47" s="33">
        <f>IF('Seaborne Supply'!H46=0,0,('FOB Cost'!H46/(1-Assumptions!$E46/100)+'Freight to Qingdao'!H50)/(1-Assumptions!$D46/100))</f>
        <v>0</v>
      </c>
      <c r="I47" s="33">
        <f>IF('Seaborne Supply'!I46=0,0,('FOB Cost'!I46/(1-Assumptions!$E46/100)+'Freight to Qingdao'!I50)/(1-Assumptions!$D46/100))</f>
        <v>42.953744193950371</v>
      </c>
      <c r="J47" s="33">
        <f>IF('Seaborne Supply'!J46=0,0,('FOB Cost'!J46/(1-Assumptions!$E46/100)+'Freight to Qingdao'!J50)/(1-Assumptions!$D46/100))</f>
        <v>50.856961595105922</v>
      </c>
      <c r="K47" s="33">
        <f>IF('Seaborne Supply'!K46=0,0,('FOB Cost'!K46/(1-Assumptions!$E46/100)+'Freight to Qingdao'!K50)/(1-Assumptions!$D46/100))</f>
        <v>55.541497677580153</v>
      </c>
      <c r="L47" s="33">
        <f>IF('Seaborne Supply'!L46=0,0,('FOB Cost'!L46/(1-Assumptions!$E46/100)+'Freight to Qingdao'!L50)/(1-Assumptions!$D46/100))</f>
        <v>55.763475699558171</v>
      </c>
      <c r="M47" s="33">
        <f>IF('Seaborne Supply'!M46=0,0,('FOB Cost'!M46/(1-Assumptions!$E46/100)+'Freight to Qingdao'!M50)/(1-Assumptions!$D46/100))</f>
        <v>49.280117820324008</v>
      </c>
      <c r="N47" s="33">
        <f>IF('Seaborne Supply'!N46=0,0,('FOB Cost'!N46/(1-Assumptions!$E46/100)+'Freight to Qingdao'!N50)/(1-Assumptions!$D46/100))</f>
        <v>67.019361051319805</v>
      </c>
      <c r="O47" s="33">
        <f>IF('Seaborne Supply'!O46=0,0,('FOB Cost'!O46/(1-Assumptions!$E46/100)+'Freight to Qingdao'!O50)/(1-Assumptions!$D46/100))</f>
        <v>67.421320947094145</v>
      </c>
      <c r="P47" s="33">
        <f>IF('Seaborne Supply'!P46=0,0,('FOB Cost'!P46/(1-Assumptions!$E46/100)+'Freight to Qingdao'!P50)/(1-Assumptions!$D46/100))</f>
        <v>65.224538348249681</v>
      </c>
      <c r="Q47" s="33">
        <f>IF('Seaborne Supply'!Q46=0,0,('FOB Cost'!Q46/(1-Assumptions!$E46/100)+'Freight to Qingdao'!Q50)/(1-Assumptions!$D46/100))</f>
        <v>99.119179789282882</v>
      </c>
      <c r="R47" s="33">
        <f>IF('Seaborne Supply'!R46=0,0,('FOB Cost'!R46/(1-Assumptions!$E46/100)+'Freight to Qingdao'!R50)/(1-Assumptions!$D46/100))</f>
        <v>102.47584683357879</v>
      </c>
      <c r="S47" s="33">
        <f>IF('Seaborne Supply'!S46=0,0,('FOB Cost'!S46/(1-Assumptions!$E46/100)+'Freight to Qingdao'!S50)/(1-Assumptions!$D46/100))</f>
        <v>105.77852044862354</v>
      </c>
      <c r="T47" s="33">
        <f>IF('Seaborne Supply'!T46=0,0,('FOB Cost'!T46/(1-Assumptions!$E46/100)+'Freight to Qingdao'!T50)/(1-Assumptions!$D46/100))</f>
        <v>92.876798459272678</v>
      </c>
      <c r="U47" s="33">
        <f>IF('Seaborne Supply'!U46=0,0,('FOB Cost'!U46/(1-Assumptions!$E46/100)+'Freight to Qingdao'!U50)/(1-Assumptions!$D46/100))</f>
        <v>84.659612552396055</v>
      </c>
      <c r="V47" s="33">
        <f>IF('Seaborne Supply'!V46=0,0,('FOB Cost'!V46/(1-Assumptions!$E46/100)+'Freight to Qingdao'!V50)/(1-Assumptions!$D46/100))</f>
        <v>84.238654129375789</v>
      </c>
      <c r="W47" s="33">
        <f>IF('Seaborne Supply'!W46=0,0,('FOB Cost'!W46/(1-Assumptions!$E46/100)+'Freight to Qingdao'!W50)/(1-Assumptions!$D46/100))</f>
        <v>85.928786677240282</v>
      </c>
      <c r="X47" s="33">
        <f>IF('Seaborne Supply'!X46=0,0,('FOB Cost'!X46/(1-Assumptions!$E46/100)+'Freight to Qingdao'!X50)/(1-Assumptions!$D46/100))</f>
        <v>87.729908236093806</v>
      </c>
      <c r="Y47" s="33">
        <f>IF('Seaborne Supply'!Y46=0,0,('FOB Cost'!Y46/(1-Assumptions!$E46/100)+'Freight to Qingdao'!Y50)/(1-Assumptions!$D46/100))</f>
        <v>89.420040783958314</v>
      </c>
      <c r="Z47" s="33">
        <f>IF('Seaborne Supply'!Z46=0,0,('FOB Cost'!Z46/(1-Assumptions!$E46/100)+'Freight to Qingdao'!Z50)/(1-Assumptions!$D46/100))</f>
        <v>91.221162342811823</v>
      </c>
      <c r="AA47" s="33">
        <f>IF('Seaborne Supply'!AA46=0,0,('FOB Cost'!AA46/(1-Assumptions!$E46/100)+'Freight to Qingdao'!AA50)/(1-Assumptions!$D46/100))</f>
        <v>93.135572674747934</v>
      </c>
      <c r="AB47" s="33">
        <f>IF('Seaborne Supply'!AB46=0,0,('FOB Cost'!AB46/(1-Assumptions!$E46/100)+'Freight to Qingdao'!AB50)/(1-Assumptions!$D46/100))</f>
        <v>95.04998300668403</v>
      </c>
    </row>
    <row r="48" spans="1:28" x14ac:dyDescent="0.2">
      <c r="A48" s="7" t="s">
        <v>251</v>
      </c>
      <c r="B48" s="7"/>
      <c r="C48" s="33">
        <f>IF('Seaborne Supply'!C47=0,0,('FOB Cost'!C47/(1-Assumptions!$E47/100)+'Freight to Qingdao'!C51)/(1-Assumptions!$D47/100))</f>
        <v>64.621402958314647</v>
      </c>
      <c r="D48" s="33">
        <f>IF('Seaborne Supply'!D47=0,0,('FOB Cost'!D47/(1-Assumptions!$E47/100)+'Freight to Qingdao'!D51)/(1-Assumptions!$D47/100))</f>
        <v>65.041741371582248</v>
      </c>
      <c r="E48" s="33">
        <f>IF('Seaborne Supply'!E47=0,0,('FOB Cost'!E47/(1-Assumptions!$E47/100)+'Freight to Qingdao'!E51)/(1-Assumptions!$D47/100))</f>
        <v>63.088402061855668</v>
      </c>
      <c r="F48" s="33">
        <f>IF('Seaborne Supply'!F47=0,0,('FOB Cost'!F47/(1-Assumptions!$E47/100)+'Freight to Qingdao'!F51)/(1-Assumptions!$D47/100))</f>
        <v>63.504784849843119</v>
      </c>
      <c r="G48" s="33">
        <f>IF('Seaborne Supply'!G47=0,0,('FOB Cost'!G47/(1-Assumptions!$E47/100)+'Freight to Qingdao'!G51)/(1-Assumptions!$D47/100))</f>
        <v>60.714724338861494</v>
      </c>
      <c r="H48" s="33">
        <f>IF('Seaborne Supply'!H47=0,0,('FOB Cost'!H47/(1-Assumptions!$E47/100)+'Freight to Qingdao'!H51)/(1-Assumptions!$D47/100))</f>
        <v>41.430569251456745</v>
      </c>
      <c r="I48" s="33">
        <f>IF('Seaborne Supply'!I47=0,0,('FOB Cost'!I47/(1-Assumptions!$E47/100)+'Freight to Qingdao'!I51)/(1-Assumptions!$D47/100))</f>
        <v>36.883987001344686</v>
      </c>
      <c r="J48" s="33">
        <f>IF('Seaborne Supply'!J47=0,0,('FOB Cost'!J47/(1-Assumptions!$E47/100)+'Freight to Qingdao'!J51)/(1-Assumptions!$D47/100))</f>
        <v>44.701299865531148</v>
      </c>
      <c r="K48" s="33">
        <f>IF('Seaborne Supply'!K47=0,0,('FOB Cost'!K47/(1-Assumptions!$E47/100)+'Freight to Qingdao'!K51)/(1-Assumptions!$D47/100))</f>
        <v>49.3349170775437</v>
      </c>
      <c r="L48" s="33">
        <f>IF('Seaborne Supply'!L47=0,0,('FOB Cost'!L47/(1-Assumptions!$E47/100)+'Freight to Qingdao'!L51)/(1-Assumptions!$D47/100))</f>
        <v>49.554482294935013</v>
      </c>
      <c r="M48" s="33">
        <f>IF('Seaborne Supply'!M47=0,0,('FOB Cost'!M47/(1-Assumptions!$E47/100)+'Freight to Qingdao'!M51)/(1-Assumptions!$D47/100))</f>
        <v>44.262169430748543</v>
      </c>
      <c r="N48" s="33">
        <f>IF('Seaborne Supply'!N47=0,0,('FOB Cost'!N47/(1-Assumptions!$E47/100)+'Freight to Qingdao'!N51)/(1-Assumptions!$D47/100))</f>
        <v>60.688021066786185</v>
      </c>
      <c r="O48" s="33">
        <f>IF('Seaborne Supply'!O47=0,0,('FOB Cost'!O47/(1-Assumptions!$E47/100)+'Freight to Qingdao'!O51)/(1-Assumptions!$D47/100))</f>
        <v>59.965038099506941</v>
      </c>
      <c r="P48" s="33">
        <f>IF('Seaborne Supply'!P47=0,0,('FOB Cost'!P47/(1-Assumptions!$E47/100)+'Freight to Qingdao'!P51)/(1-Assumptions!$D47/100))</f>
        <v>54.430412371134025</v>
      </c>
      <c r="Q48" s="33">
        <f>IF('Seaborne Supply'!Q47=0,0,('FOB Cost'!Q47/(1-Assumptions!$E47/100)+'Freight to Qingdao'!Q51)/(1-Assumptions!$D47/100))</f>
        <v>57.701142985208428</v>
      </c>
      <c r="R48" s="33">
        <f>IF('Seaborne Supply'!R47=0,0,('FOB Cost'!R47/(1-Assumptions!$E47/100)+'Freight to Qingdao'!R51)/(1-Assumptions!$D47/100))</f>
        <v>54.297882115643205</v>
      </c>
      <c r="S48" s="33">
        <f>IF('Seaborne Supply'!S47=0,0,('FOB Cost'!S47/(1-Assumptions!$E47/100)+'Freight to Qingdao'!S51)/(1-Assumptions!$D47/100))</f>
        <v>64.848386373823402</v>
      </c>
      <c r="T48" s="33">
        <f>IF('Seaborne Supply'!T47=0,0,('FOB Cost'!T47/(1-Assumptions!$E47/100)+'Freight to Qingdao'!T51)/(1-Assumptions!$D47/100))</f>
        <v>59.482687135813535</v>
      </c>
      <c r="U48" s="33">
        <f>IF('Seaborne Supply'!U47=0,0,('FOB Cost'!U47/(1-Assumptions!$E47/100)+'Freight to Qingdao'!U51)/(1-Assumptions!$D47/100))</f>
        <v>57.630031376064544</v>
      </c>
      <c r="V48" s="33">
        <f>IF('Seaborne Supply'!V47=0,0,('FOB Cost'!V47/(1-Assumptions!$E47/100)+'Freight to Qingdao'!V51)/(1-Assumptions!$D47/100))</f>
        <v>56.65336172120125</v>
      </c>
      <c r="W48" s="33">
        <f>IF('Seaborne Supply'!W47=0,0,('FOB Cost'!W47/(1-Assumptions!$E47/100)+'Freight to Qingdao'!W51)/(1-Assumptions!$D47/100))</f>
        <v>57.76483639623487</v>
      </c>
      <c r="X48" s="33">
        <f>IF('Seaborne Supply'!X47=0,0,('FOB Cost'!X47/(1-Assumptions!$E47/100)+'Freight to Qingdao'!X51)/(1-Assumptions!$D47/100))</f>
        <v>58.986093679964135</v>
      </c>
      <c r="Y48" s="33">
        <f>IF('Seaborne Supply'!Y47=0,0,('FOB Cost'!Y47/(1-Assumptions!$E47/100)+'Freight to Qingdao'!Y51)/(1-Assumptions!$D47/100))</f>
        <v>60.097568354997762</v>
      </c>
      <c r="Z48" s="33">
        <f>IF('Seaborne Supply'!Z47=0,0,('FOB Cost'!Z47/(1-Assumptions!$E47/100)+'Freight to Qingdao'!Z51)/(1-Assumptions!$D47/100))</f>
        <v>61.318825638727034</v>
      </c>
      <c r="AA48" s="33">
        <f>IF('Seaborne Supply'!AA47=0,0,('FOB Cost'!AA47/(1-Assumptions!$E47/100)+'Freight to Qingdao'!AA51)/(1-Assumptions!$D47/100))</f>
        <v>62.652140295831458</v>
      </c>
      <c r="AB48" s="33">
        <f>IF('Seaborne Supply'!AB47=0,0,('FOB Cost'!AB47/(1-Assumptions!$E47/100)+'Freight to Qingdao'!AB51)/(1-Assumptions!$D47/100))</f>
        <v>63.873397579560738</v>
      </c>
    </row>
    <row r="49" spans="1:28" x14ac:dyDescent="0.2">
      <c r="A49" s="7" t="s">
        <v>252</v>
      </c>
      <c r="B49" s="7"/>
      <c r="C49" s="33">
        <f>IF('Seaborne Supply'!C48=0,0,('FOB Cost'!C48/(1-Assumptions!$E48/100)+'Freight to Qingdao'!C52)/(1-Assumptions!$D48/100))</f>
        <v>72.128854650504138</v>
      </c>
      <c r="D49" s="33">
        <f>IF('Seaborne Supply'!D48=0,0,('FOB Cost'!D48/(1-Assumptions!$E48/100)+'Freight to Qingdao'!D52)/(1-Assumptions!$D48/100))</f>
        <v>72.553812167214232</v>
      </c>
      <c r="E49" s="33">
        <f>IF('Seaborne Supply'!E48=0,0,('FOB Cost'!E48/(1-Assumptions!$E48/100)+'Freight to Qingdao'!E52)/(1-Assumptions!$D48/100))</f>
        <v>71.711895321173671</v>
      </c>
      <c r="F49" s="33">
        <f>IF('Seaborne Supply'!F48=0,0,('FOB Cost'!F48/(1-Assumptions!$E48/100)+'Freight to Qingdao'!F52)/(1-Assumptions!$D48/100))</f>
        <v>72.132853744193952</v>
      </c>
      <c r="G49" s="33">
        <f>IF('Seaborne Supply'!G48=0,0,('FOB Cost'!G48/(1-Assumptions!$E48/100)+'Freight to Qingdao'!G52)/(1-Assumptions!$D48/100))</f>
        <v>68.179245496771273</v>
      </c>
      <c r="H49" s="33">
        <f>IF('Seaborne Supply'!H48=0,0,('FOB Cost'!H48/(1-Assumptions!$E48/100)+'Freight to Qingdao'!H52)/(1-Assumptions!$D48/100))</f>
        <v>47.550288886371355</v>
      </c>
      <c r="I49" s="33">
        <f>IF('Seaborne Supply'!I48=0,0,('FOB Cost'!I48/(1-Assumptions!$E48/100)+'Freight to Qingdao'!I52)/(1-Assumptions!$D48/100))</f>
        <v>42.953744193950371</v>
      </c>
      <c r="J49" s="33">
        <f>IF('Seaborne Supply'!J48=0,0,('FOB Cost'!J48/(1-Assumptions!$E48/100)+'Freight to Qingdao'!J52)/(1-Assumptions!$D48/100))</f>
        <v>50.856961595105922</v>
      </c>
      <c r="K49" s="33">
        <f>IF('Seaborne Supply'!K48=0,0,('FOB Cost'!K48/(1-Assumptions!$E48/100)+'Freight to Qingdao'!K52)/(1-Assumptions!$D48/100))</f>
        <v>56.674385408406025</v>
      </c>
      <c r="L49" s="33">
        <f>IF('Seaborne Supply'!L48=0,0,('FOB Cost'!L48/(1-Assumptions!$E48/100)+'Freight to Qingdao'!L52)/(1-Assumptions!$D48/100))</f>
        <v>56.896363430384049</v>
      </c>
      <c r="M49" s="33">
        <f>IF('Seaborne Supply'!M48=0,0,('FOB Cost'!M48/(1-Assumptions!$E48/100)+'Freight to Qingdao'!M52)/(1-Assumptions!$D48/100))</f>
        <v>51.545893281975758</v>
      </c>
      <c r="N49" s="33">
        <f>IF('Seaborne Supply'!N48=0,0,('FOB Cost'!N48/(1-Assumptions!$E48/100)+'Freight to Qingdao'!N52)/(1-Assumptions!$D48/100))</f>
        <v>69.285136512971562</v>
      </c>
      <c r="O49" s="33">
        <f>IF('Seaborne Supply'!O48=0,0,('FOB Cost'!O48/(1-Assumptions!$E48/100)+'Freight to Qingdao'!O52)/(1-Assumptions!$D48/100))</f>
        <v>69.687096408745901</v>
      </c>
      <c r="P49" s="33">
        <f>IF('Seaborne Supply'!P48=0,0,('FOB Cost'!P48/(1-Assumptions!$E48/100)+'Freight to Qingdao'!P52)/(1-Assumptions!$D48/100))</f>
        <v>65.224538348249681</v>
      </c>
      <c r="Q49" s="33">
        <f>IF('Seaborne Supply'!Q48=0,0,('FOB Cost'!Q48/(1-Assumptions!$E48/100)+'Freight to Qingdao'!Q52)/(1-Assumptions!$D48/100))</f>
        <v>67.398323326158376</v>
      </c>
      <c r="R49" s="33">
        <f>IF('Seaborne Supply'!R48=0,0,('FOB Cost'!R48/(1-Assumptions!$E48/100)+'Freight to Qingdao'!R52)/(1-Assumptions!$D48/100))</f>
        <v>63.957663985499032</v>
      </c>
      <c r="S49" s="33">
        <f>IF('Seaborne Supply'!S48=0,0,('FOB Cost'!S48/(1-Assumptions!$E48/100)+'Freight to Qingdao'!S52)/(1-Assumptions!$D48/100))</f>
        <v>74.850685397077157</v>
      </c>
      <c r="T49" s="33">
        <f>IF('Seaborne Supply'!T48=0,0,('FOB Cost'!T48/(1-Assumptions!$E48/100)+'Freight to Qingdao'!T52)/(1-Assumptions!$D48/100))</f>
        <v>69.539311204259661</v>
      </c>
      <c r="U49" s="33">
        <f>IF('Seaborne Supply'!U48=0,0,('FOB Cost'!U48/(1-Assumptions!$E48/100)+'Freight to Qingdao'!U52)/(1-Assumptions!$D48/100))</f>
        <v>67.779585363090519</v>
      </c>
      <c r="V49" s="33">
        <f>IF('Seaborne Supply'!V48=0,0,('FOB Cost'!V48/(1-Assumptions!$E48/100)+'Freight to Qingdao'!V52)/(1-Assumptions!$D48/100))</f>
        <v>67.132049393905064</v>
      </c>
      <c r="W49" s="33">
        <f>IF('Seaborne Supply'!W48=0,0,('FOB Cost'!W48/(1-Assumptions!$E48/100)+'Freight to Qingdao'!W52)/(1-Assumptions!$D48/100))</f>
        <v>68.369026849439223</v>
      </c>
      <c r="X49" s="33">
        <f>IF('Seaborne Supply'!X48=0,0,('FOB Cost'!X48/(1-Assumptions!$E48/100)+'Freight to Qingdao'!X52)/(1-Assumptions!$D48/100))</f>
        <v>69.830282089044971</v>
      </c>
      <c r="Y49" s="33">
        <f>IF('Seaborne Supply'!Y48=0,0,('FOB Cost'!Y48/(1-Assumptions!$E48/100)+'Freight to Qingdao'!Y52)/(1-Assumptions!$D48/100))</f>
        <v>71.180548317661717</v>
      </c>
      <c r="Z49" s="33">
        <f>IF('Seaborne Supply'!Z48=0,0,('FOB Cost'!Z48/(1-Assumptions!$E48/100)+'Freight to Qingdao'!Z52)/(1-Assumptions!$D48/100))</f>
        <v>72.64180355726748</v>
      </c>
      <c r="AA49" s="33">
        <f>IF('Seaborne Supply'!AA48=0,0,('FOB Cost'!AA48/(1-Assumptions!$E48/100)+'Freight to Qingdao'!AA52)/(1-Assumptions!$D48/100))</f>
        <v>74.103058796873228</v>
      </c>
      <c r="AB49" s="33">
        <f>IF('Seaborne Supply'!AB48=0,0,('FOB Cost'!AB48/(1-Assumptions!$E48/100)+'Freight to Qingdao'!AB52)/(1-Assumptions!$D48/100))</f>
        <v>75.677602809561577</v>
      </c>
    </row>
    <row r="50" spans="1:28" x14ac:dyDescent="0.2">
      <c r="A50" s="7" t="s">
        <v>253</v>
      </c>
      <c r="B50" s="7"/>
      <c r="C50" s="33">
        <f>IF('Seaborne Supply'!C49=0,0,('FOB Cost'!C49/(1-Assumptions!$E49/100)+'Freight to Qingdao'!C53)/(1-Assumptions!$D49/100))</f>
        <v>0</v>
      </c>
      <c r="D50" s="33">
        <f>IF('Seaborne Supply'!D49=0,0,('FOB Cost'!D49/(1-Assumptions!$E49/100)+'Freight to Qingdao'!D53)/(1-Assumptions!$D49/100))</f>
        <v>0</v>
      </c>
      <c r="E50" s="33">
        <f>IF('Seaborne Supply'!E49=0,0,('FOB Cost'!E49/(1-Assumptions!$E49/100)+'Freight to Qingdao'!E53)/(1-Assumptions!$D49/100))</f>
        <v>0</v>
      </c>
      <c r="F50" s="33">
        <f>IF('Seaborne Supply'!F49=0,0,('FOB Cost'!F49/(1-Assumptions!$E49/100)+'Freight to Qingdao'!F53)/(1-Assumptions!$D49/100))</f>
        <v>0</v>
      </c>
      <c r="G50" s="33">
        <f>IF('Seaborne Supply'!G49=0,0,('FOB Cost'!G49/(1-Assumptions!$E49/100)+'Freight to Qingdao'!G53)/(1-Assumptions!$D49/100))</f>
        <v>0</v>
      </c>
      <c r="H50" s="33">
        <f>IF('Seaborne Supply'!H49=0,0,('FOB Cost'!H49/(1-Assumptions!$E49/100)+'Freight to Qingdao'!H53)/(1-Assumptions!$D49/100))</f>
        <v>46.417401155545484</v>
      </c>
      <c r="I50" s="33">
        <f>IF('Seaborne Supply'!I49=0,0,('FOB Cost'!I49/(1-Assumptions!$E49/100)+'Freight to Qingdao'!I53)/(1-Assumptions!$D49/100))</f>
        <v>40.687968732298629</v>
      </c>
      <c r="J50" s="33">
        <f>IF('Seaborne Supply'!J49=0,0,('FOB Cost'!J49/(1-Assumptions!$E49/100)+'Freight to Qingdao'!J53)/(1-Assumptions!$D49/100))</f>
        <v>48.591186133454173</v>
      </c>
      <c r="K50" s="33">
        <f>IF('Seaborne Supply'!K49=0,0,('FOB Cost'!K49/(1-Assumptions!$E49/100)+'Freight to Qingdao'!K53)/(1-Assumptions!$D49/100))</f>
        <v>53.275722215928397</v>
      </c>
      <c r="L50" s="33">
        <f>IF('Seaborne Supply'!L49=0,0,('FOB Cost'!L49/(1-Assumptions!$E49/100)+'Freight to Qingdao'!L53)/(1-Assumptions!$D49/100))</f>
        <v>53.497700237906422</v>
      </c>
      <c r="M50" s="33">
        <f>IF('Seaborne Supply'!M49=0,0,('FOB Cost'!M49/(1-Assumptions!$E49/100)+'Freight to Qingdao'!M53)/(1-Assumptions!$D49/100))</f>
        <v>48.147230089498137</v>
      </c>
      <c r="N50" s="33">
        <f>IF('Seaborne Supply'!N49=0,0,('FOB Cost'!N49/(1-Assumptions!$E49/100)+'Freight to Qingdao'!N53)/(1-Assumptions!$D49/100))</f>
        <v>65.886473320493934</v>
      </c>
      <c r="O50" s="33">
        <f>IF('Seaborne Supply'!O49=0,0,('FOB Cost'!O49/(1-Assumptions!$E49/100)+'Freight to Qingdao'!O53)/(1-Assumptions!$D49/100))</f>
        <v>66.288433216268274</v>
      </c>
      <c r="P50" s="33">
        <f>IF('Seaborne Supply'!P49=0,0,('FOB Cost'!P49/(1-Assumptions!$E49/100)+'Freight to Qingdao'!P53)/(1-Assumptions!$D49/100))</f>
        <v>62.958762886597938</v>
      </c>
      <c r="Q50" s="33">
        <f>IF('Seaborne Supply'!Q49=0,0,('FOB Cost'!Q49/(1-Assumptions!$E49/100)+'Freight to Qingdao'!Q53)/(1-Assumptions!$D49/100))</f>
        <v>73.062761980287746</v>
      </c>
      <c r="R50" s="33">
        <f>IF('Seaborne Supply'!R49=0,0,('FOB Cost'!R49/(1-Assumptions!$E49/100)+'Freight to Qingdao'!R53)/(1-Assumptions!$D49/100))</f>
        <v>70.754990370454294</v>
      </c>
      <c r="S50" s="33">
        <f>IF('Seaborne Supply'!S49=0,0,('FOB Cost'!S49/(1-Assumptions!$E49/100)+'Freight to Qingdao'!S53)/(1-Assumptions!$D49/100))</f>
        <v>81.761300555114971</v>
      </c>
      <c r="T50" s="33">
        <f>IF('Seaborne Supply'!T49=0,0,('FOB Cost'!T49/(1-Assumptions!$E49/100)+'Freight to Qingdao'!T53)/(1-Assumptions!$D49/100))</f>
        <v>76.676503908462678</v>
      </c>
      <c r="U50" s="33">
        <f>IF('Seaborne Supply'!U49=0,0,('FOB Cost'!U49/(1-Assumptions!$E49/100)+'Freight to Qingdao'!U53)/(1-Assumptions!$D49/100))</f>
        <v>75.030066840376122</v>
      </c>
      <c r="V50" s="33">
        <f>IF('Seaborne Supply'!V49=0,0,('FOB Cost'!V49/(1-Assumptions!$E49/100)+'Freight to Qingdao'!V53)/(1-Assumptions!$D49/100))</f>
        <v>74.495819644273254</v>
      </c>
      <c r="W50" s="33">
        <f>IF('Seaborne Supply'!W49=0,0,('FOB Cost'!W49/(1-Assumptions!$E49/100)+'Freight to Qingdao'!W53)/(1-Assumptions!$D49/100))</f>
        <v>75.846085872890001</v>
      </c>
      <c r="X50" s="33">
        <f>IF('Seaborne Supply'!X49=0,0,('FOB Cost'!X49/(1-Assumptions!$E49/100)+'Freight to Qingdao'!X53)/(1-Assumptions!$D49/100))</f>
        <v>77.420629885578336</v>
      </c>
      <c r="Y50" s="33">
        <f>IF('Seaborne Supply'!Y49=0,0,('FOB Cost'!Y49/(1-Assumptions!$E49/100)+'Freight to Qingdao'!Y53)/(1-Assumptions!$D49/100))</f>
        <v>78.997473660360271</v>
      </c>
      <c r="Z50" s="33">
        <f>IF('Seaborne Supply'!Z49=0,0,('FOB Cost'!Z49/(1-Assumptions!$E49/100)+'Freight to Qingdao'!Z53)/(1-Assumptions!$D49/100))</f>
        <v>80.572017673048606</v>
      </c>
      <c r="AA50" s="33">
        <f>IF('Seaborne Supply'!AA49=0,0,('FOB Cost'!AA49/(1-Assumptions!$E49/100)+'Freight to Qingdao'!AA53)/(1-Assumptions!$D49/100))</f>
        <v>82.259850458819528</v>
      </c>
      <c r="AB50" s="33">
        <f>IF('Seaborne Supply'!AB49=0,0,('FOB Cost'!AB49/(1-Assumptions!$E49/100)+'Freight to Qingdao'!AB53)/(1-Assumptions!$D49/100))</f>
        <v>83.834394471507863</v>
      </c>
    </row>
    <row r="51" spans="1:28" x14ac:dyDescent="0.2">
      <c r="A51" s="7" t="s">
        <v>254</v>
      </c>
      <c r="B51" s="7"/>
      <c r="C51" s="33">
        <f>IF('Seaborne Supply'!C50=0,0,('FOB Cost'!C50/(1-Assumptions!$E50/100)+'Freight to Qingdao'!C54)/(1-Assumptions!$D50/100))</f>
        <v>67.597303727200639</v>
      </c>
      <c r="D51" s="33">
        <f>IF('Seaborne Supply'!D50=0,0,('FOB Cost'!D50/(1-Assumptions!$E50/100)+'Freight to Qingdao'!D54)/(1-Assumptions!$D50/100))</f>
        <v>68.022261243910734</v>
      </c>
      <c r="E51" s="33">
        <f>IF('Seaborne Supply'!E50=0,0,('FOB Cost'!E50/(1-Assumptions!$E50/100)+'Freight to Qingdao'!E54)/(1-Assumptions!$D50/100))</f>
        <v>67.180344397870172</v>
      </c>
      <c r="F51" s="33">
        <f>IF('Seaborne Supply'!F50=0,0,('FOB Cost'!F50/(1-Assumptions!$E50/100)+'Freight to Qingdao'!F54)/(1-Assumptions!$D50/100))</f>
        <v>67.601302820890453</v>
      </c>
      <c r="G51" s="33">
        <f>IF('Seaborne Supply'!G50=0,0,('FOB Cost'!G50/(1-Assumptions!$E50/100)+'Freight to Qingdao'!G54)/(1-Assumptions!$D50/100))</f>
        <v>64.780582304293645</v>
      </c>
      <c r="H51" s="33">
        <f>IF('Seaborne Supply'!H50=0,0,('FOB Cost'!H50/(1-Assumptions!$E50/100)+'Freight to Qingdao'!H54)/(1-Assumptions!$D50/100))</f>
        <v>44.151625693893735</v>
      </c>
      <c r="I51" s="33">
        <f>IF('Seaborne Supply'!I50=0,0,('FOB Cost'!I50/(1-Assumptions!$E50/100)+'Freight to Qingdao'!I54)/(1-Assumptions!$D50/100))</f>
        <v>38.422193270646872</v>
      </c>
      <c r="J51" s="33">
        <f>IF('Seaborne Supply'!J50=0,0,('FOB Cost'!J50/(1-Assumptions!$E50/100)+'Freight to Qingdao'!J54)/(1-Assumptions!$D50/100))</f>
        <v>46.325410671802423</v>
      </c>
      <c r="K51" s="33">
        <f>IF('Seaborne Supply'!K50=0,0,('FOB Cost'!K50/(1-Assumptions!$E50/100)+'Freight to Qingdao'!K54)/(1-Assumptions!$D50/100))</f>
        <v>51.009946754276655</v>
      </c>
      <c r="L51" s="33">
        <f>IF('Seaborne Supply'!L50=0,0,('FOB Cost'!L50/(1-Assumptions!$E50/100)+'Freight to Qingdao'!L54)/(1-Assumptions!$D50/100))</f>
        <v>52.364812507080543</v>
      </c>
      <c r="M51" s="33">
        <f>IF('Seaborne Supply'!M50=0,0,('FOB Cost'!M50/(1-Assumptions!$E50/100)+'Freight to Qingdao'!M54)/(1-Assumptions!$D50/100))</f>
        <v>47.014342358672252</v>
      </c>
      <c r="N51" s="33">
        <f>IF('Seaborne Supply'!N50=0,0,('FOB Cost'!N50/(1-Assumptions!$E50/100)+'Freight to Qingdao'!N54)/(1-Assumptions!$D50/100))</f>
        <v>64.753585589668063</v>
      </c>
      <c r="O51" s="33">
        <f>IF('Seaborne Supply'!O50=0,0,('FOB Cost'!O50/(1-Assumptions!$E50/100)+'Freight to Qingdao'!O54)/(1-Assumptions!$D50/100))</f>
        <v>65.155545485442403</v>
      </c>
      <c r="P51" s="33">
        <f>IF('Seaborne Supply'!P50=0,0,('FOB Cost'!P50/(1-Assumptions!$E50/100)+'Freight to Qingdao'!P54)/(1-Assumptions!$D50/100))</f>
        <v>59.560099694120318</v>
      </c>
      <c r="Q51" s="33">
        <f>IF('Seaborne Supply'!Q50=0,0,('FOB Cost'!Q50/(1-Assumptions!$E50/100)+'Freight to Qingdao'!Q54)/(1-Assumptions!$D50/100))</f>
        <v>62.866772402854878</v>
      </c>
      <c r="R51" s="33">
        <f>IF('Seaborne Supply'!R50=0,0,('FOB Cost'!R50/(1-Assumptions!$E50/100)+'Freight to Qingdao'!R54)/(1-Assumptions!$D50/100))</f>
        <v>59.426113062195533</v>
      </c>
      <c r="S51" s="33">
        <f>IF('Seaborne Supply'!S50=0,0,('FOB Cost'!S50/(1-Assumptions!$E50/100)+'Freight to Qingdao'!S54)/(1-Assumptions!$D50/100))</f>
        <v>70.205845700691057</v>
      </c>
      <c r="T51" s="33">
        <f>IF('Seaborne Supply'!T50=0,0,('FOB Cost'!T50/(1-Assumptions!$E50/100)+'Freight to Qingdao'!T54)/(1-Assumptions!$D50/100))</f>
        <v>64.894471507873561</v>
      </c>
      <c r="U51" s="33">
        <f>IF('Seaborne Supply'!U50=0,0,('FOB Cost'!U50/(1-Assumptions!$E50/100)+'Freight to Qingdao'!U54)/(1-Assumptions!$D50/100))</f>
        <v>63.021456893621846</v>
      </c>
      <c r="V51" s="33">
        <f>IF('Seaborne Supply'!V50=0,0,('FOB Cost'!V50/(1-Assumptions!$E50/100)+'Freight to Qingdao'!V54)/(1-Assumptions!$D50/100))</f>
        <v>62.260632151353803</v>
      </c>
      <c r="W51" s="33">
        <f>IF('Seaborne Supply'!W50=0,0,('FOB Cost'!W50/(1-Assumptions!$E50/100)+'Freight to Qingdao'!W54)/(1-Assumptions!$D50/100))</f>
        <v>63.384320833805369</v>
      </c>
      <c r="X51" s="33">
        <f>IF('Seaborne Supply'!X50=0,0,('FOB Cost'!X50/(1-Assumptions!$E50/100)+'Freight to Qingdao'!X54)/(1-Assumptions!$D50/100))</f>
        <v>64.732287300328537</v>
      </c>
      <c r="Y51" s="33">
        <f>IF('Seaborne Supply'!Y50=0,0,('FOB Cost'!Y50/(1-Assumptions!$E50/100)+'Freight to Qingdao'!Y54)/(1-Assumptions!$D50/100))</f>
        <v>65.969264755862696</v>
      </c>
      <c r="Z51" s="33">
        <f>IF('Seaborne Supply'!Z50=0,0,('FOB Cost'!Z50/(1-Assumptions!$E50/100)+'Freight to Qingdao'!Z54)/(1-Assumptions!$D50/100))</f>
        <v>67.317231222385857</v>
      </c>
      <c r="AA51" s="33">
        <f>IF('Seaborne Supply'!AA50=0,0,('FOB Cost'!AA50/(1-Assumptions!$E50/100)+'Freight to Qingdao'!AA54)/(1-Assumptions!$D50/100))</f>
        <v>68.665197688909032</v>
      </c>
      <c r="AB51" s="33">
        <f>IF('Seaborne Supply'!AB50=0,0,('FOB Cost'!AB50/(1-Assumptions!$E50/100)+'Freight to Qingdao'!AB54)/(1-Assumptions!$D50/100))</f>
        <v>70.12645292851478</v>
      </c>
    </row>
    <row r="52" spans="1:28" x14ac:dyDescent="0.2">
      <c r="A52" s="7" t="s">
        <v>248</v>
      </c>
      <c r="B52" s="7"/>
      <c r="C52" s="33">
        <f>IF('Seaborne Supply'!C51=0,0,('FOB Cost'!C51/(1-Assumptions!$E51/100)+'Freight to Qingdao'!C55)/(1-Assumptions!$D51/100))</f>
        <v>69.103697893321382</v>
      </c>
      <c r="D52" s="33">
        <f>IF('Seaborne Supply'!D51=0,0,('FOB Cost'!D51/(1-Assumptions!$E51/100)+'Freight to Qingdao'!D55)/(1-Assumptions!$D51/100))</f>
        <v>69.524036306588968</v>
      </c>
      <c r="E52" s="33">
        <f>IF('Seaborne Supply'!E51=0,0,('FOB Cost'!E51/(1-Assumptions!$E51/100)+'Freight to Qingdao'!E55)/(1-Assumptions!$D51/100))</f>
        <v>67.570696996862381</v>
      </c>
      <c r="F52" s="33">
        <f>IF('Seaborne Supply'!F51=0,0,('FOB Cost'!F51/(1-Assumptions!$E51/100)+'Freight to Qingdao'!F55)/(1-Assumptions!$D51/100))</f>
        <v>67.98707978484984</v>
      </c>
      <c r="G52" s="33">
        <f>IF('Seaborne Supply'!G51=0,0,('FOB Cost'!G51/(1-Assumptions!$E51/100)+'Freight to Qingdao'!G55)/(1-Assumptions!$D51/100))</f>
        <v>65.197019273868221</v>
      </c>
      <c r="H52" s="33">
        <f>IF('Seaborne Supply'!H51=0,0,('FOB Cost'!H51/(1-Assumptions!$E51/100)+'Freight to Qingdao'!H55)/(1-Assumptions!$D51/100))</f>
        <v>44.792290452711782</v>
      </c>
      <c r="I52" s="33">
        <f>IF('Seaborne Supply'!I51=0,0,('FOB Cost'!I51/(1-Assumptions!$E51/100)+'Freight to Qingdao'!I55)/(1-Assumptions!$D51/100))</f>
        <v>40.245708202599729</v>
      </c>
      <c r="J52" s="33">
        <f>IF('Seaborne Supply'!J51=0,0,('FOB Cost'!J51/(1-Assumptions!$E51/100)+'Freight to Qingdao'!J55)/(1-Assumptions!$D51/100))</f>
        <v>48.063021066786192</v>
      </c>
      <c r="K52" s="33">
        <f>IF('Seaborne Supply'!K51=0,0,('FOB Cost'!K51/(1-Assumptions!$E51/100)+'Freight to Qingdao'!K55)/(1-Assumptions!$D51/100))</f>
        <v>52.696638278798737</v>
      </c>
      <c r="L52" s="33">
        <f>IF('Seaborne Supply'!L51=0,0,('FOB Cost'!L51/(1-Assumptions!$E51/100)+'Freight to Qingdao'!L55)/(1-Assumptions!$D51/100))</f>
        <v>52.91620349619005</v>
      </c>
      <c r="M52" s="33">
        <f>IF('Seaborne Supply'!M51=0,0,('FOB Cost'!M51/(1-Assumptions!$E51/100)+'Freight to Qingdao'!M55)/(1-Assumptions!$D51/100))</f>
        <v>47.623890632003587</v>
      </c>
      <c r="N52" s="33">
        <f>IF('Seaborne Supply'!N51=0,0,('FOB Cost'!N51/(1-Assumptions!$E51/100)+'Freight to Qingdao'!N55)/(1-Assumptions!$D51/100))</f>
        <v>65.170316001792912</v>
      </c>
      <c r="O52" s="33">
        <f>IF('Seaborne Supply'!O51=0,0,('FOB Cost'!O51/(1-Assumptions!$E51/100)+'Freight to Qingdao'!O55)/(1-Assumptions!$D51/100))</f>
        <v>65.567906768265345</v>
      </c>
      <c r="P52" s="33">
        <f>IF('Seaborne Supply'!P51=0,0,('FOB Cost'!P51/(1-Assumptions!$E51/100)+'Freight to Qingdao'!P55)/(1-Assumptions!$D51/100))</f>
        <v>62.274428507395783</v>
      </c>
      <c r="Q52" s="33">
        <f>IF('Seaborne Supply'!Q51=0,0,('FOB Cost'!Q51/(1-Assumptions!$E51/100)+'Freight to Qingdao'!Q55)/(1-Assumptions!$D51/100))</f>
        <v>65.545159121470192</v>
      </c>
      <c r="R52" s="33">
        <f>IF('Seaborne Supply'!R51=0,0,('FOB Cost'!R51/(1-Assumptions!$E51/100)+'Freight to Qingdao'!R55)/(1-Assumptions!$D51/100))</f>
        <v>62.141898251904976</v>
      </c>
      <c r="S52" s="33">
        <f>IF('Seaborne Supply'!S51=0,0,('FOB Cost'!S51/(1-Assumptions!$E51/100)+'Freight to Qingdao'!S55)/(1-Assumptions!$D51/100))</f>
        <v>72.91651725683549</v>
      </c>
      <c r="T52" s="33">
        <f>IF('Seaborne Supply'!T51=0,0,('FOB Cost'!T51/(1-Assumptions!$E51/100)+'Freight to Qingdao'!T55)/(1-Assumptions!$D51/100))</f>
        <v>67.662875392200803</v>
      </c>
      <c r="U52" s="33">
        <f>IF('Seaborne Supply'!U51=0,0,('FOB Cost'!U51/(1-Assumptions!$E51/100)+'Freight to Qingdao'!U55)/(1-Assumptions!$D51/100))</f>
        <v>65.922277005826984</v>
      </c>
      <c r="V52" s="33">
        <f>IF('Seaborne Supply'!V51=0,0,('FOB Cost'!V51/(1-Assumptions!$E51/100)+'Freight to Qingdao'!V55)/(1-Assumptions!$D51/100))</f>
        <v>65.169722097714029</v>
      </c>
      <c r="W52" s="33">
        <f>IF('Seaborne Supply'!W51=0,0,('FOB Cost'!W51/(1-Assumptions!$E51/100)+'Freight to Qingdao'!W55)/(1-Assumptions!$D51/100))</f>
        <v>66.3932541461228</v>
      </c>
      <c r="X52" s="33">
        <f>IF('Seaborne Supply'!X51=0,0,('FOB Cost'!X51/(1-Assumptions!$E51/100)+'Freight to Qingdao'!X55)/(1-Assumptions!$D51/100))</f>
        <v>67.838626176602418</v>
      </c>
      <c r="Y52" s="33">
        <f>IF('Seaborne Supply'!Y51=0,0,('FOB Cost'!Y51/(1-Assumptions!$E51/100)+'Freight to Qingdao'!Y55)/(1-Assumptions!$D51/100))</f>
        <v>69.174215598386382</v>
      </c>
      <c r="Z52" s="33">
        <f>IF('Seaborne Supply'!Z51=0,0,('FOB Cost'!Z51/(1-Assumptions!$E51/100)+'Freight to Qingdao'!Z55)/(1-Assumptions!$D51/100))</f>
        <v>70.507530255490806</v>
      </c>
      <c r="AA52" s="33">
        <f>IF('Seaborne Supply'!AA51=0,0,('FOB Cost'!AA51/(1-Assumptions!$E51/100)+'Freight to Qingdao'!AA55)/(1-Assumptions!$D51/100))</f>
        <v>71.95290228597041</v>
      </c>
      <c r="AB52" s="33">
        <f>IF('Seaborne Supply'!AB51=0,0,('FOB Cost'!AB51/(1-Assumptions!$E51/100)+'Freight to Qingdao'!AB55)/(1-Assumptions!$D51/100))</f>
        <v>73.398274316450014</v>
      </c>
    </row>
    <row r="53" spans="1:28" x14ac:dyDescent="0.2">
      <c r="A53" s="7" t="s">
        <v>255</v>
      </c>
      <c r="B53" s="7"/>
      <c r="C53" s="33">
        <f>IF('Seaborne Supply'!C52=0,0,('FOB Cost'!C52/(1-Assumptions!$E52/100)+'Freight to Qingdao'!C56)/(1-Assumptions!$D52/100))</f>
        <v>66.862550425818029</v>
      </c>
      <c r="D53" s="33">
        <f>IF('Seaborne Supply'!D52=0,0,('FOB Cost'!D52/(1-Assumptions!$E52/100)+'Freight to Qingdao'!D56)/(1-Assumptions!$D52/100))</f>
        <v>67.282888839085615</v>
      </c>
      <c r="E53" s="33">
        <f>IF('Seaborne Supply'!E52=0,0,('FOB Cost'!E52/(1-Assumptions!$E52/100)+'Freight to Qingdao'!E56)/(1-Assumptions!$D52/100))</f>
        <v>65.329549529359028</v>
      </c>
      <c r="F53" s="33">
        <f>IF('Seaborne Supply'!F52=0,0,('FOB Cost'!F52/(1-Assumptions!$E52/100)+'Freight to Qingdao'!F56)/(1-Assumptions!$D52/100))</f>
        <v>65.745932317346487</v>
      </c>
      <c r="G53" s="33">
        <f>IF('Seaborne Supply'!G52=0,0,('FOB Cost'!G52/(1-Assumptions!$E52/100)+'Freight to Qingdao'!G56)/(1-Assumptions!$D52/100))</f>
        <v>62.955871806364861</v>
      </c>
      <c r="H53" s="33">
        <f>IF('Seaborne Supply'!H52=0,0,('FOB Cost'!H52/(1-Assumptions!$E52/100)+'Freight to Qingdao'!H56)/(1-Assumptions!$D52/100))</f>
        <v>42.551142985208422</v>
      </c>
      <c r="I53" s="33">
        <f>IF('Seaborne Supply'!I52=0,0,('FOB Cost'!I52/(1-Assumptions!$E52/100)+'Freight to Qingdao'!I56)/(1-Assumptions!$D52/100))</f>
        <v>38.004560735096362</v>
      </c>
      <c r="J53" s="33">
        <f>IF('Seaborne Supply'!J52=0,0,('FOB Cost'!J52/(1-Assumptions!$E52/100)+'Freight to Qingdao'!J56)/(1-Assumptions!$D52/100))</f>
        <v>45.821873599282831</v>
      </c>
      <c r="K53" s="33">
        <f>IF('Seaborne Supply'!K52=0,0,('FOB Cost'!K52/(1-Assumptions!$E52/100)+'Freight to Qingdao'!K56)/(1-Assumptions!$D52/100))</f>
        <v>50.455490811295384</v>
      </c>
      <c r="L53" s="33">
        <f>IF('Seaborne Supply'!L52=0,0,('FOB Cost'!L52/(1-Assumptions!$E52/100)+'Freight to Qingdao'!L56)/(1-Assumptions!$D52/100))</f>
        <v>51.795629762438367</v>
      </c>
      <c r="M53" s="33">
        <f>IF('Seaborne Supply'!M52=0,0,('FOB Cost'!M52/(1-Assumptions!$E52/100)+'Freight to Qingdao'!M56)/(1-Assumptions!$D52/100))</f>
        <v>46.503316898251903</v>
      </c>
      <c r="N53" s="33">
        <f>IF('Seaborne Supply'!N52=0,0,('FOB Cost'!N52/(1-Assumptions!$E52/100)+'Freight to Qingdao'!N56)/(1-Assumptions!$D52/100))</f>
        <v>64.049742268041228</v>
      </c>
      <c r="O53" s="33">
        <f>IF('Seaborne Supply'!O52=0,0,('FOB Cost'!O52/(1-Assumptions!$E52/100)+'Freight to Qingdao'!O56)/(1-Assumptions!$D52/100))</f>
        <v>64.447333034513676</v>
      </c>
      <c r="P53" s="33">
        <f>IF('Seaborne Supply'!P52=0,0,('FOB Cost'!P52/(1-Assumptions!$E52/100)+'Freight to Qingdao'!P56)/(1-Assumptions!$D52/100))</f>
        <v>60.033281039892422</v>
      </c>
      <c r="Q53" s="33">
        <f>IF('Seaborne Supply'!Q52=0,0,('FOB Cost'!Q52/(1-Assumptions!$E52/100)+'Freight to Qingdao'!Q56)/(1-Assumptions!$D52/100))</f>
        <v>62.183437920215148</v>
      </c>
      <c r="R53" s="33">
        <f>IF('Seaborne Supply'!R52=0,0,('FOB Cost'!R52/(1-Assumptions!$E52/100)+'Freight to Qingdao'!R56)/(1-Assumptions!$D52/100))</f>
        <v>58.780177050649932</v>
      </c>
      <c r="S53" s="33">
        <f>IF('Seaborne Supply'!S52=0,0,('FOB Cost'!S52/(1-Assumptions!$E52/100)+'Freight to Qingdao'!S56)/(1-Assumptions!$D52/100))</f>
        <v>69.442738682205288</v>
      </c>
      <c r="T53" s="33">
        <f>IF('Seaborne Supply'!T52=0,0,('FOB Cost'!T52/(1-Assumptions!$E52/100)+'Freight to Qingdao'!T56)/(1-Assumptions!$D52/100))</f>
        <v>64.189096817570586</v>
      </c>
      <c r="U53" s="33">
        <f>IF('Seaborne Supply'!U52=0,0,('FOB Cost'!U52/(1-Assumptions!$E52/100)+'Freight to Qingdao'!U56)/(1-Assumptions!$D52/100))</f>
        <v>62.336441057821602</v>
      </c>
      <c r="V53" s="33">
        <f>IF('Seaborne Supply'!V52=0,0,('FOB Cost'!V52/(1-Assumptions!$E52/100)+'Freight to Qingdao'!V56)/(1-Assumptions!$D52/100))</f>
        <v>61.583886149708654</v>
      </c>
      <c r="W53" s="33">
        <f>IF('Seaborne Supply'!W52=0,0,('FOB Cost'!W52/(1-Assumptions!$E52/100)+'Freight to Qingdao'!W56)/(1-Assumptions!$D52/100))</f>
        <v>62.695360824742266</v>
      </c>
      <c r="X53" s="33">
        <f>IF('Seaborne Supply'!X52=0,0,('FOB Cost'!X52/(1-Assumptions!$E52/100)+'Freight to Qingdao'!X56)/(1-Assumptions!$D52/100))</f>
        <v>64.028675481846705</v>
      </c>
      <c r="Y53" s="33">
        <f>IF('Seaborne Supply'!Y52=0,0,('FOB Cost'!Y52/(1-Assumptions!$E52/100)+'Freight to Qingdao'!Y56)/(1-Assumptions!$D52/100))</f>
        <v>65.25220753025549</v>
      </c>
      <c r="Z53" s="33">
        <f>IF('Seaborne Supply'!Z52=0,0,('FOB Cost'!Z52/(1-Assumptions!$E52/100)+'Freight to Qingdao'!Z56)/(1-Assumptions!$D52/100))</f>
        <v>66.585522187359928</v>
      </c>
      <c r="AA53" s="33">
        <f>IF('Seaborne Supply'!AA52=0,0,('FOB Cost'!AA52/(1-Assumptions!$E52/100)+'Freight to Qingdao'!AA56)/(1-Assumptions!$D52/100))</f>
        <v>67.918836844464366</v>
      </c>
      <c r="AB53" s="33">
        <f>IF('Seaborne Supply'!AB52=0,0,('FOB Cost'!AB52/(1-Assumptions!$E52/100)+'Freight to Qingdao'!AB56)/(1-Assumptions!$D52/100))</f>
        <v>69.364208874943955</v>
      </c>
    </row>
    <row r="54" spans="1:28" x14ac:dyDescent="0.2">
      <c r="A54" s="7" t="s">
        <v>256</v>
      </c>
      <c r="B54" s="7"/>
      <c r="C54" s="33">
        <f>IF('Seaborne Supply'!C53=0,0,('FOB Cost'!C53/(1-Assumptions!$E53/100)+'Freight to Qingdao'!C57)/(1-Assumptions!$D53/100))</f>
        <v>66.464415996374754</v>
      </c>
      <c r="D54" s="33">
        <f>IF('Seaborne Supply'!D53=0,0,('FOB Cost'!D53/(1-Assumptions!$E53/100)+'Freight to Qingdao'!D57)/(1-Assumptions!$D53/100))</f>
        <v>66.889373513084848</v>
      </c>
      <c r="E54" s="33">
        <f>IF('Seaborne Supply'!E53=0,0,('FOB Cost'!E53/(1-Assumptions!$E53/100)+'Freight to Qingdao'!E57)/(1-Assumptions!$D53/100))</f>
        <v>64.914568936218416</v>
      </c>
      <c r="F54" s="33">
        <f>IF('Seaborne Supply'!F53=0,0,('FOB Cost'!F53/(1-Assumptions!$E53/100)+'Freight to Qingdao'!F57)/(1-Assumptions!$D53/100))</f>
        <v>65.335527359238696</v>
      </c>
      <c r="G54" s="33">
        <f>IF('Seaborne Supply'!G53=0,0,('FOB Cost'!G53/(1-Assumptions!$E53/100)+'Freight to Qingdao'!G57)/(1-Assumptions!$D53/100))</f>
        <v>62.514806842641889</v>
      </c>
      <c r="H54" s="33">
        <f>IF('Seaborne Supply'!H53=0,0,('FOB Cost'!H53/(1-Assumptions!$E53/100)+'Freight to Qingdao'!H57)/(1-Assumptions!$D53/100))</f>
        <v>43.018737963067856</v>
      </c>
      <c r="I54" s="33">
        <f>IF('Seaborne Supply'!I53=0,0,('FOB Cost'!I53/(1-Assumptions!$E53/100)+'Freight to Qingdao'!I57)/(1-Assumptions!$D53/100))</f>
        <v>38.422193270646872</v>
      </c>
      <c r="J54" s="33">
        <f>IF('Seaborne Supply'!J53=0,0,('FOB Cost'!J53/(1-Assumptions!$E53/100)+'Freight to Qingdao'!J57)/(1-Assumptions!$D53/100))</f>
        <v>46.325410671802423</v>
      </c>
      <c r="K54" s="33">
        <f>IF('Seaborne Supply'!K53=0,0,('FOB Cost'!K53/(1-Assumptions!$E53/100)+'Freight to Qingdao'!K57)/(1-Assumptions!$D53/100))</f>
        <v>51.009946754276655</v>
      </c>
      <c r="L54" s="33">
        <f>IF('Seaborne Supply'!L53=0,0,('FOB Cost'!L53/(1-Assumptions!$E53/100)+'Freight to Qingdao'!L57)/(1-Assumptions!$D53/100))</f>
        <v>51.231924776254672</v>
      </c>
      <c r="M54" s="33">
        <f>IF('Seaborne Supply'!M53=0,0,('FOB Cost'!M53/(1-Assumptions!$E53/100)+'Freight to Qingdao'!M57)/(1-Assumptions!$D53/100))</f>
        <v>45.881454627846374</v>
      </c>
      <c r="N54" s="33">
        <f>IF('Seaborne Supply'!N53=0,0,('FOB Cost'!N53/(1-Assumptions!$E53/100)+'Freight to Qingdao'!N57)/(1-Assumptions!$D53/100))</f>
        <v>63.620697858842192</v>
      </c>
      <c r="O54" s="33">
        <f>IF('Seaborne Supply'!O53=0,0,('FOB Cost'!O53/(1-Assumptions!$E53/100)+'Freight to Qingdao'!O57)/(1-Assumptions!$D53/100))</f>
        <v>64.022657754616517</v>
      </c>
      <c r="P54" s="33">
        <f>IF('Seaborne Supply'!P53=0,0,('FOB Cost'!P53/(1-Assumptions!$E53/100)+'Freight to Qingdao'!P57)/(1-Assumptions!$D53/100))</f>
        <v>59.560099694120318</v>
      </c>
      <c r="Q54" s="33">
        <f>IF('Seaborne Supply'!Q53=0,0,('FOB Cost'!Q53/(1-Assumptions!$E53/100)+'Freight to Qingdao'!Q57)/(1-Assumptions!$D53/100))</f>
        <v>61.733884672029006</v>
      </c>
      <c r="R54" s="33">
        <f>IF('Seaborne Supply'!R53=0,0,('FOB Cost'!R53/(1-Assumptions!$E53/100)+'Freight to Qingdao'!R57)/(1-Assumptions!$D53/100))</f>
        <v>58.293225331369662</v>
      </c>
      <c r="S54" s="33">
        <f>IF('Seaborne Supply'!S53=0,0,('FOB Cost'!S53/(1-Assumptions!$E53/100)+'Freight to Qingdao'!S57)/(1-Assumptions!$D53/100))</f>
        <v>69.072957969865186</v>
      </c>
      <c r="T54" s="33">
        <f>IF('Seaborne Supply'!T53=0,0,('FOB Cost'!T53/(1-Assumptions!$E53/100)+'Freight to Qingdao'!T57)/(1-Assumptions!$D53/100))</f>
        <v>63.648295003965096</v>
      </c>
      <c r="U54" s="33">
        <f>IF('Seaborne Supply'!U53=0,0,('FOB Cost'!U53/(1-Assumptions!$E53/100)+'Freight to Qingdao'!U57)/(1-Assumptions!$D53/100))</f>
        <v>61.775280389713373</v>
      </c>
      <c r="V54" s="33">
        <f>IF('Seaborne Supply'!V53=0,0,('FOB Cost'!V53/(1-Assumptions!$E53/100)+'Freight to Qingdao'!V57)/(1-Assumptions!$D53/100))</f>
        <v>61.014455647445338</v>
      </c>
      <c r="W54" s="33">
        <f>IF('Seaborne Supply'!W53=0,0,('FOB Cost'!W53/(1-Assumptions!$E53/100)+'Freight to Qingdao'!W57)/(1-Assumptions!$D53/100))</f>
        <v>62.138144329896903</v>
      </c>
      <c r="X54" s="33">
        <f>IF('Seaborne Supply'!X53=0,0,('FOB Cost'!X53/(1-Assumptions!$E53/100)+'Freight to Qingdao'!X57)/(1-Assumptions!$D53/100))</f>
        <v>63.486110796420071</v>
      </c>
      <c r="Y54" s="33">
        <f>IF('Seaborne Supply'!Y53=0,0,('FOB Cost'!Y53/(1-Assumptions!$E53/100)+'Freight to Qingdao'!Y57)/(1-Assumptions!$D53/100))</f>
        <v>64.723088251954238</v>
      </c>
      <c r="Z54" s="33">
        <f>IF('Seaborne Supply'!Z53=0,0,('FOB Cost'!Z53/(1-Assumptions!$E53/100)+'Freight to Qingdao'!Z57)/(1-Assumptions!$D53/100))</f>
        <v>65.957765945394812</v>
      </c>
      <c r="AA54" s="33">
        <f>IF('Seaborne Supply'!AA53=0,0,('FOB Cost'!AA53/(1-Assumptions!$E53/100)+'Freight to Qingdao'!AA57)/(1-Assumptions!$D53/100))</f>
        <v>67.41902118500056</v>
      </c>
      <c r="AB54" s="33">
        <f>IF('Seaborne Supply'!AB53=0,0,('FOB Cost'!AB53/(1-Assumptions!$E53/100)+'Freight to Qingdao'!AB57)/(1-Assumptions!$D53/100))</f>
        <v>68.766987651523735</v>
      </c>
    </row>
    <row r="55" spans="1:28" x14ac:dyDescent="0.2">
      <c r="A55" s="7" t="s">
        <v>137</v>
      </c>
      <c r="B55" s="7"/>
      <c r="C55" s="33">
        <f>IF('Seaborne Supply'!C54=0,0,('FOB Cost'!C54/(1-Assumptions!$E54/100)+'Freight to Qingdao'!C58)/(1-Assumptions!$D54/100))</f>
        <v>0</v>
      </c>
      <c r="D55" s="33">
        <f>IF('Seaborne Supply'!D54=0,0,('FOB Cost'!D54/(1-Assumptions!$E54/100)+'Freight to Qingdao'!D58)/(1-Assumptions!$D54/100))</f>
        <v>74.304061784897016</v>
      </c>
      <c r="E55" s="33">
        <f>IF('Seaborne Supply'!E54=0,0,('FOB Cost'!E54/(1-Assumptions!$E54/100)+'Freight to Qingdao'!E58)/(1-Assumptions!$D54/100))</f>
        <v>84.12070938215102</v>
      </c>
      <c r="F55" s="33">
        <f>IF('Seaborne Supply'!F54=0,0,('FOB Cost'!F54/(1-Assumptions!$E54/100)+'Freight to Qingdao'!F58)/(1-Assumptions!$D54/100))</f>
        <v>93.379862700228841</v>
      </c>
      <c r="G55" s="33">
        <f>IF('Seaborne Supply'!G54=0,0,('FOB Cost'!G54/(1-Assumptions!$E54/100)+'Freight to Qingdao'!G58)/(1-Assumptions!$D54/100))</f>
        <v>90.216533180778029</v>
      </c>
      <c r="H55" s="33">
        <f>IF('Seaborne Supply'!H54=0,0,('FOB Cost'!H54/(1-Assumptions!$E54/100)+'Freight to Qingdao'!H58)/(1-Assumptions!$D54/100))</f>
        <v>82.784038901601832</v>
      </c>
      <c r="I55" s="33">
        <f>IF('Seaborne Supply'!I54=0,0,('FOB Cost'!I54/(1-Assumptions!$E54/100)+'Freight to Qingdao'!I58)/(1-Assumptions!$D54/100))</f>
        <v>73.130720823798626</v>
      </c>
      <c r="J55" s="33">
        <f>IF('Seaborne Supply'!J54=0,0,('FOB Cost'!J54/(1-Assumptions!$E54/100)+'Freight to Qingdao'!J58)/(1-Assumptions!$D54/100))</f>
        <v>77.149885583524025</v>
      </c>
      <c r="K55" s="33">
        <f>IF('Seaborne Supply'!K54=0,0,('FOB Cost'!K54/(1-Assumptions!$E54/100)+'Freight to Qingdao'!K58)/(1-Assumptions!$D54/100))</f>
        <v>79.294050343249424</v>
      </c>
      <c r="L55" s="33">
        <f>IF('Seaborne Supply'!L54=0,0,('FOB Cost'!L54/(1-Assumptions!$E54/100)+'Freight to Qingdao'!L58)/(1-Assumptions!$D54/100))</f>
        <v>81.707379862700236</v>
      </c>
      <c r="M55" s="33">
        <f>IF('Seaborne Supply'!M54=0,0,('FOB Cost'!M54/(1-Assumptions!$E54/100)+'Freight to Qingdao'!M58)/(1-Assumptions!$D54/100))</f>
        <v>83.889874141876419</v>
      </c>
      <c r="N55" s="33">
        <f>IF('Seaborne Supply'!N54=0,0,('FOB Cost'!N54/(1-Assumptions!$E54/100)+'Freight to Qingdao'!N58)/(1-Assumptions!$D54/100))</f>
        <v>98.64902745995424</v>
      </c>
      <c r="O55" s="33">
        <f>IF('Seaborne Supply'!O54=0,0,('FOB Cost'!O54/(1-Assumptions!$E54/100)+'Freight to Qingdao'!O58)/(1-Assumptions!$D54/100))</f>
        <v>108.48483981693364</v>
      </c>
      <c r="P55" s="33">
        <f>IF('Seaborne Supply'!P54=0,0,('FOB Cost'!P54/(1-Assumptions!$E54/100)+'Freight to Qingdao'!P58)/(1-Assumptions!$D54/100))</f>
        <v>105.84067505720824</v>
      </c>
      <c r="Q55" s="33">
        <f>IF('Seaborne Supply'!Q54=0,0,('FOB Cost'!Q54/(1-Assumptions!$E54/100)+'Freight to Qingdao'!Q58)/(1-Assumptions!$D54/100))</f>
        <v>106.44651029748283</v>
      </c>
      <c r="R55" s="33">
        <f>IF('Seaborne Supply'!R54=0,0,('FOB Cost'!R54/(1-Assumptions!$E54/100)+'Freight to Qingdao'!R58)/(1-Assumptions!$D54/100))</f>
        <v>104.05234553775745</v>
      </c>
      <c r="S55" s="33">
        <f>IF('Seaborne Supply'!S54=0,0,('FOB Cost'!S54/(1-Assumptions!$E54/100)+'Freight to Qingdao'!S58)/(1-Assumptions!$D54/100))</f>
        <v>107.15818077803203</v>
      </c>
      <c r="T55" s="33">
        <f>IF('Seaborne Supply'!T54=0,0,('FOB Cost'!T54/(1-Assumptions!$E54/100)+'Freight to Qingdao'!T58)/(1-Assumptions!$D54/100))</f>
        <v>103.88901601830663</v>
      </c>
      <c r="U55" s="33">
        <f>IF('Seaborne Supply'!U54=0,0,('FOB Cost'!U54/(1-Assumptions!$E54/100)+'Freight to Qingdao'!U58)/(1-Assumptions!$D54/100))</f>
        <v>101.99485125858124</v>
      </c>
      <c r="V55" s="33">
        <f>IF('Seaborne Supply'!V54=0,0,('FOB Cost'!V54/(1-Assumptions!$E54/100)+'Freight to Qingdao'!V58)/(1-Assumptions!$D54/100))</f>
        <v>100.35068649885582</v>
      </c>
      <c r="W55" s="33">
        <f>IF('Seaborne Supply'!W54=0,0,('FOB Cost'!W54/(1-Assumptions!$E54/100)+'Freight to Qingdao'!W58)/(1-Assumptions!$D54/100))</f>
        <v>102.31693363844394</v>
      </c>
      <c r="X55" s="33">
        <f>IF('Seaborne Supply'!X54=0,0,('FOB Cost'!X54/(1-Assumptions!$E54/100)+'Freight to Qingdao'!X58)/(1-Assumptions!$D54/100))</f>
        <v>104.39759725400457</v>
      </c>
      <c r="Y55" s="33">
        <f>IF('Seaborne Supply'!Y54=0,0,('FOB Cost'!Y54/(1-Assumptions!$E54/100)+'Freight to Qingdao'!Y58)/(1-Assumptions!$D54/100))</f>
        <v>106.4782608695652</v>
      </c>
      <c r="Z55" s="33">
        <f>IF('Seaborne Supply'!Z54=0,0,('FOB Cost'!Z54/(1-Assumptions!$E54/100)+'Freight to Qingdao'!Z58)/(1-Assumptions!$D54/100))</f>
        <v>108.55892448512586</v>
      </c>
      <c r="AA55" s="33">
        <f>IF('Seaborne Supply'!AA54=0,0,('FOB Cost'!AA54/(1-Assumptions!$E54/100)+'Freight to Qingdao'!AA58)/(1-Assumptions!$D54/100))</f>
        <v>110.75400457665903</v>
      </c>
      <c r="AB55" s="33">
        <f>IF('Seaborne Supply'!AB54=0,0,('FOB Cost'!AB54/(1-Assumptions!$E54/100)+'Freight to Qingdao'!AB58)/(1-Assumptions!$D54/100))</f>
        <v>112.94908466819223</v>
      </c>
    </row>
    <row r="56" spans="1:28" x14ac:dyDescent="0.2">
      <c r="A56" s="7" t="s">
        <v>138</v>
      </c>
      <c r="B56" s="7"/>
      <c r="C56" s="33">
        <f>IF('Seaborne Supply'!C55=0,0,('FOB Cost'!C55/(1-Assumptions!$E55/100)+'Freight to Qingdao'!C59)/(1-Assumptions!$D55/100))</f>
        <v>61.651136851136854</v>
      </c>
      <c r="D56" s="33">
        <f>IF('Seaborne Supply'!D55=0,0,('FOB Cost'!D55/(1-Assumptions!$E55/100)+'Freight to Qingdao'!D59)/(1-Assumptions!$D55/100))</f>
        <v>66.671757471757473</v>
      </c>
      <c r="E56" s="33">
        <f>IF('Seaborne Supply'!E55=0,0,('FOB Cost'!E55/(1-Assumptions!$E55/100)+'Freight to Qingdao'!E59)/(1-Assumptions!$D55/100))</f>
        <v>67.116373516373514</v>
      </c>
      <c r="F56" s="33">
        <f>IF('Seaborne Supply'!F55=0,0,('FOB Cost'!F55/(1-Assumptions!$E55/100)+'Freight to Qingdao'!F59)/(1-Assumptions!$D55/100))</f>
        <v>63.95835835835836</v>
      </c>
      <c r="G56" s="33">
        <f>IF('Seaborne Supply'!G55=0,0,('FOB Cost'!G55/(1-Assumptions!$E55/100)+'Freight to Qingdao'!G59)/(1-Assumptions!$D55/100))</f>
        <v>56.101758901758906</v>
      </c>
      <c r="H56" s="33">
        <f>IF('Seaborne Supply'!H55=0,0,('FOB Cost'!H55/(1-Assumptions!$E55/100)+'Freight to Qingdao'!H59)/(1-Assumptions!$D55/100))</f>
        <v>45.500986700986708</v>
      </c>
      <c r="I56" s="33">
        <f>IF('Seaborne Supply'!I55=0,0,('FOB Cost'!I55/(1-Assumptions!$E55/100)+'Freight to Qingdao'!I59)/(1-Assumptions!$D55/100))</f>
        <v>41.844987844987841</v>
      </c>
      <c r="J56" s="33">
        <f>IF('Seaborne Supply'!J55=0,0,('FOB Cost'!J55/(1-Assumptions!$E55/100)+'Freight to Qingdao'!J59)/(1-Assumptions!$D55/100))</f>
        <v>46.250364650364652</v>
      </c>
      <c r="K56" s="33">
        <f>IF('Seaborne Supply'!K55=0,0,('FOB Cost'!K55/(1-Assumptions!$E55/100)+'Freight to Qingdao'!K59)/(1-Assumptions!$D55/100))</f>
        <v>55.39276419276419</v>
      </c>
      <c r="L56" s="33">
        <f>IF('Seaborne Supply'!L55=0,0,('FOB Cost'!L55/(1-Assumptions!$E55/100)+'Freight to Qingdao'!L59)/(1-Assumptions!$D55/100))</f>
        <v>60.110567710567707</v>
      </c>
      <c r="M56" s="33">
        <f>IF('Seaborne Supply'!M55=0,0,('FOB Cost'!M55/(1-Assumptions!$E55/100)+'Freight to Qingdao'!M59)/(1-Assumptions!$D55/100))</f>
        <v>62.124581724581724</v>
      </c>
      <c r="N56" s="33">
        <f>IF('Seaborne Supply'!N55=0,0,('FOB Cost'!N55/(1-Assumptions!$E55/100)+'Freight to Qingdao'!N59)/(1-Assumptions!$D55/100))</f>
        <v>80.077734877734883</v>
      </c>
      <c r="O56" s="33">
        <f>IF('Seaborne Supply'!O55=0,0,('FOB Cost'!O55/(1-Assumptions!$E55/100)+'Freight to Qingdao'!O59)/(1-Assumptions!$D55/100))</f>
        <v>95.26217646217647</v>
      </c>
      <c r="P56" s="33">
        <f>IF('Seaborne Supply'!P55=0,0,('FOB Cost'!P55/(1-Assumptions!$E55/100)+'Freight to Qingdao'!P59)/(1-Assumptions!$D55/100))</f>
        <v>87.840583440583444</v>
      </c>
      <c r="Q56" s="33">
        <f>IF('Seaborne Supply'!Q55=0,0,('FOB Cost'!Q55/(1-Assumptions!$E55/100)+'Freight to Qingdao'!Q59)/(1-Assumptions!$D55/100))</f>
        <v>95.545774345774362</v>
      </c>
      <c r="R56" s="33">
        <f>IF('Seaborne Supply'!R55=0,0,('FOB Cost'!R55/(1-Assumptions!$E55/100)+'Freight to Qingdao'!R59)/(1-Assumptions!$D55/100))</f>
        <v>106.71179751179751</v>
      </c>
      <c r="S56" s="33">
        <f>IF('Seaborne Supply'!S55=0,0,('FOB Cost'!S55/(1-Assumptions!$E55/100)+'Freight to Qingdao'!S59)/(1-Assumptions!$D55/100))</f>
        <v>103.52495352495353</v>
      </c>
      <c r="T56" s="33">
        <f>IF('Seaborne Supply'!T55=0,0,('FOB Cost'!T55/(1-Assumptions!$E55/100)+'Freight to Qingdao'!T59)/(1-Assumptions!$D55/100))</f>
        <v>97.6823680823681</v>
      </c>
      <c r="U56" s="33">
        <f>IF('Seaborne Supply'!U55=0,0,('FOB Cost'!U55/(1-Assumptions!$E55/100)+'Freight to Qingdao'!U59)/(1-Assumptions!$D55/100))</f>
        <v>94.543572143572163</v>
      </c>
      <c r="V56" s="33">
        <f>IF('Seaborne Supply'!V55=0,0,('FOB Cost'!V55/(1-Assumptions!$E55/100)+'Freight to Qingdao'!V59)/(1-Assumptions!$D55/100))</f>
        <v>92.832375232375242</v>
      </c>
      <c r="W56" s="33">
        <f>IF('Seaborne Supply'!W55=0,0,('FOB Cost'!W55/(1-Assumptions!$E55/100)+'Freight to Qingdao'!W59)/(1-Assumptions!$D55/100))</f>
        <v>94.717574717574735</v>
      </c>
      <c r="X56" s="33">
        <f>IF('Seaborne Supply'!X55=0,0,('FOB Cost'!X55/(1-Assumptions!$E55/100)+'Freight to Qingdao'!X59)/(1-Assumptions!$D55/100))</f>
        <v>96.602774202774199</v>
      </c>
      <c r="Y56" s="33">
        <f>IF('Seaborne Supply'!Y55=0,0,('FOB Cost'!Y55/(1-Assumptions!$E55/100)+'Freight to Qingdao'!Y59)/(1-Assumptions!$D55/100))</f>
        <v>98.487973687973692</v>
      </c>
      <c r="Z56" s="33">
        <f>IF('Seaborne Supply'!Z55=0,0,('FOB Cost'!Z55/(1-Assumptions!$E55/100)+'Freight to Qingdao'!Z59)/(1-Assumptions!$D55/100))</f>
        <v>100.48757328757328</v>
      </c>
      <c r="AA56" s="33">
        <f>IF('Seaborne Supply'!AA55=0,0,('FOB Cost'!AA55/(1-Assumptions!$E55/100)+'Freight to Qingdao'!AA59)/(1-Assumptions!$D55/100))</f>
        <v>102.48717288717287</v>
      </c>
      <c r="AB56" s="33">
        <f>IF('Seaborne Supply'!AB55=0,0,('FOB Cost'!AB55/(1-Assumptions!$E55/100)+'Freight to Qingdao'!AB59)/(1-Assumptions!$D55/100))</f>
        <v>104.48677248677248</v>
      </c>
    </row>
    <row r="57" spans="1:28" x14ac:dyDescent="0.2">
      <c r="A57" s="7" t="s">
        <v>146</v>
      </c>
      <c r="B57" s="7"/>
      <c r="C57" s="33">
        <f>IF('Seaborne Supply'!C56=0,0,('FOB Cost'!C56/(1-Assumptions!$E56/100)+'Freight to Qingdao'!C60)/(1-Assumptions!$D56/100))</f>
        <v>0</v>
      </c>
      <c r="D57" s="33">
        <f>IF('Seaborne Supply'!D56=0,0,('FOB Cost'!D56/(1-Assumptions!$E56/100)+'Freight to Qingdao'!D60)/(1-Assumptions!$D56/100))</f>
        <v>0</v>
      </c>
      <c r="E57" s="33">
        <f>IF('Seaborne Supply'!E56=0,0,('FOB Cost'!E56/(1-Assumptions!$E56/100)+'Freight to Qingdao'!E60)/(1-Assumptions!$D56/100))</f>
        <v>0</v>
      </c>
      <c r="F57" s="33">
        <f>IF('Seaborne Supply'!F56=0,0,('FOB Cost'!F56/(1-Assumptions!$E56/100)+'Freight to Qingdao'!F60)/(1-Assumptions!$D56/100))</f>
        <v>0</v>
      </c>
      <c r="G57" s="33">
        <f>IF('Seaborne Supply'!G56=0,0,('FOB Cost'!G56/(1-Assumptions!$E56/100)+'Freight to Qingdao'!G60)/(1-Assumptions!$D56/100))</f>
        <v>0</v>
      </c>
      <c r="H57" s="33">
        <f>IF('Seaborne Supply'!H56=0,0,('FOB Cost'!H56/(1-Assumptions!$E56/100)+'Freight to Qingdao'!H60)/(1-Assumptions!$D56/100))</f>
        <v>0</v>
      </c>
      <c r="I57" s="33">
        <f>IF('Seaborne Supply'!I56=0,0,('FOB Cost'!I56/(1-Assumptions!$E56/100)+'Freight to Qingdao'!I60)/(1-Assumptions!$D56/100))</f>
        <v>0</v>
      </c>
      <c r="J57" s="33">
        <f>IF('Seaborne Supply'!J56=0,0,('FOB Cost'!J56/(1-Assumptions!$E56/100)+'Freight to Qingdao'!J60)/(1-Assumptions!$D56/100))</f>
        <v>0</v>
      </c>
      <c r="K57" s="33">
        <f>IF('Seaborne Supply'!K56=0,0,('FOB Cost'!K56/(1-Assumptions!$E56/100)+'Freight to Qingdao'!K60)/(1-Assumptions!$D56/100))</f>
        <v>0</v>
      </c>
      <c r="L57" s="33">
        <f>IF('Seaborne Supply'!L56=0,0,('FOB Cost'!L56/(1-Assumptions!$E56/100)+'Freight to Qingdao'!L60)/(1-Assumptions!$D56/100))</f>
        <v>0</v>
      </c>
      <c r="M57" s="33">
        <f>IF('Seaborne Supply'!M56=0,0,('FOB Cost'!M56/(1-Assumptions!$E56/100)+'Freight to Qingdao'!M60)/(1-Assumptions!$D56/100))</f>
        <v>0</v>
      </c>
      <c r="N57" s="33">
        <f>IF('Seaborne Supply'!N56=0,0,('FOB Cost'!N56/(1-Assumptions!$E56/100)+'Freight to Qingdao'!N60)/(1-Assumptions!$D56/100))</f>
        <v>90.764665718349931</v>
      </c>
      <c r="O57" s="33">
        <f>IF('Seaborne Supply'!O56=0,0,('FOB Cost'!O56/(1-Assumptions!$E56/100)+'Freight to Qingdao'!O60)/(1-Assumptions!$D56/100))</f>
        <v>84.71072546230441</v>
      </c>
      <c r="P57" s="33">
        <f>IF('Seaborne Supply'!P56=0,0,('FOB Cost'!P56/(1-Assumptions!$E56/100)+'Freight to Qingdao'!P60)/(1-Assumptions!$D56/100))</f>
        <v>71.890924608819347</v>
      </c>
      <c r="Q57" s="33">
        <f>IF('Seaborne Supply'!Q56=0,0,('FOB Cost'!Q56/(1-Assumptions!$E56/100)+'Freight to Qingdao'!Q60)/(1-Assumptions!$D56/100))</f>
        <v>71.294964438122321</v>
      </c>
      <c r="R57" s="33">
        <f>IF('Seaborne Supply'!R56=0,0,('FOB Cost'!R56/(1-Assumptions!$E56/100)+'Freight to Qingdao'!R60)/(1-Assumptions!$D56/100))</f>
        <v>64.405064011379793</v>
      </c>
      <c r="S57" s="33">
        <f>IF('Seaborne Supply'!S56=0,0,('FOB Cost'!S56/(1-Assumptions!$E56/100)+'Freight to Qingdao'!S60)/(1-Assumptions!$D56/100))</f>
        <v>70.76102418207681</v>
      </c>
      <c r="T57" s="33">
        <f>IF('Seaborne Supply'!T56=0,0,('FOB Cost'!T56/(1-Assumptions!$E56/100)+'Freight to Qingdao'!T60)/(1-Assumptions!$D56/100))</f>
        <v>68.721024182076803</v>
      </c>
      <c r="U57" s="33">
        <f>IF('Seaborne Supply'!U56=0,0,('FOB Cost'!U56/(1-Assumptions!$E56/100)+'Freight to Qingdao'!U60)/(1-Assumptions!$D56/100))</f>
        <v>68.001024182076819</v>
      </c>
      <c r="V57" s="33">
        <f>IF('Seaborne Supply'!V56=0,0,('FOB Cost'!V56/(1-Assumptions!$E56/100)+'Freight to Qingdao'!V60)/(1-Assumptions!$D56/100))</f>
        <v>68.659004267425317</v>
      </c>
      <c r="W57" s="33">
        <f>IF('Seaborne Supply'!W56=0,0,('FOB Cost'!W56/(1-Assumptions!$E56/100)+'Freight to Qingdao'!W60)/(1-Assumptions!$D56/100))</f>
        <v>70.036984352773828</v>
      </c>
      <c r="X57" s="33">
        <f>IF('Seaborne Supply'!X56=0,0,('FOB Cost'!X56/(1-Assumptions!$E56/100)+'Freight to Qingdao'!X60)/(1-Assumptions!$D56/100))</f>
        <v>71.414964438122325</v>
      </c>
      <c r="Y57" s="33">
        <f>IF('Seaborne Supply'!Y56=0,0,('FOB Cost'!Y56/(1-Assumptions!$E56/100)+'Freight to Qingdao'!Y60)/(1-Assumptions!$D56/100))</f>
        <v>72.792944523470837</v>
      </c>
      <c r="Z57" s="33">
        <f>IF('Seaborne Supply'!Z56=0,0,('FOB Cost'!Z56/(1-Assumptions!$E56/100)+'Freight to Qingdao'!Z60)/(1-Assumptions!$D56/100))</f>
        <v>74.284722617354205</v>
      </c>
      <c r="AA57" s="33">
        <f>IF('Seaborne Supply'!AA56=0,0,('FOB Cost'!AA56/(1-Assumptions!$E56/100)+'Freight to Qingdao'!AA60)/(1-Assumptions!$D56/100))</f>
        <v>75.77650071123756</v>
      </c>
      <c r="AB57" s="33">
        <f>IF('Seaborne Supply'!AB56=0,0,('FOB Cost'!AB56/(1-Assumptions!$E56/100)+'Freight to Qingdao'!AB60)/(1-Assumptions!$D56/100))</f>
        <v>77.268278805120914</v>
      </c>
    </row>
    <row r="58" spans="1:28" x14ac:dyDescent="0.2">
      <c r="A58" s="7" t="s">
        <v>139</v>
      </c>
      <c r="B58" s="7"/>
      <c r="C58" s="33">
        <f>IF('Seaborne Supply'!C57=0,0,('FOB Cost'!C57/(1-Assumptions!$E57/100)+'Freight to Qingdao'!C61)/(1-Assumptions!$D57/100))</f>
        <v>0</v>
      </c>
      <c r="D58" s="33">
        <f>IF('Seaborne Supply'!D57=0,0,('FOB Cost'!D57/(1-Assumptions!$E57/100)+'Freight to Qingdao'!D61)/(1-Assumptions!$D57/100))</f>
        <v>0</v>
      </c>
      <c r="E58" s="33">
        <f>IF('Seaborne Supply'!E57=0,0,('FOB Cost'!E57/(1-Assumptions!$E57/100)+'Freight to Qingdao'!E61)/(1-Assumptions!$D57/100))</f>
        <v>0</v>
      </c>
      <c r="F58" s="33">
        <f>IF('Seaborne Supply'!F57=0,0,('FOB Cost'!F57/(1-Assumptions!$E57/100)+'Freight to Qingdao'!F61)/(1-Assumptions!$D57/100))</f>
        <v>0</v>
      </c>
      <c r="G58" s="33">
        <f>IF('Seaborne Supply'!G57=0,0,('FOB Cost'!G57/(1-Assumptions!$E57/100)+'Freight to Qingdao'!G61)/(1-Assumptions!$D57/100))</f>
        <v>0</v>
      </c>
      <c r="H58" s="33">
        <f>IF('Seaborne Supply'!H57=0,0,('FOB Cost'!H57/(1-Assumptions!$E57/100)+'Freight to Qingdao'!H61)/(1-Assumptions!$D57/100))</f>
        <v>0</v>
      </c>
      <c r="I58" s="33">
        <f>IF('Seaborne Supply'!I57=0,0,('FOB Cost'!I57/(1-Assumptions!$E57/100)+'Freight to Qingdao'!I61)/(1-Assumptions!$D57/100))</f>
        <v>0</v>
      </c>
      <c r="J58" s="33">
        <f>IF('Seaborne Supply'!J57=0,0,('FOB Cost'!J57/(1-Assumptions!$E57/100)+'Freight to Qingdao'!J61)/(1-Assumptions!$D57/100))</f>
        <v>0</v>
      </c>
      <c r="K58" s="33">
        <f>IF('Seaborne Supply'!K57=0,0,('FOB Cost'!K57/(1-Assumptions!$E57/100)+'Freight to Qingdao'!K61)/(1-Assumptions!$D57/100))</f>
        <v>0</v>
      </c>
      <c r="L58" s="33">
        <f>IF('Seaborne Supply'!L57=0,0,('FOB Cost'!L57/(1-Assumptions!$E57/100)+'Freight to Qingdao'!L61)/(1-Assumptions!$D57/100))</f>
        <v>0</v>
      </c>
      <c r="M58" s="33">
        <f>IF('Seaborne Supply'!M57=0,0,('FOB Cost'!M57/(1-Assumptions!$E57/100)+'Freight to Qingdao'!M61)/(1-Assumptions!$D57/100))</f>
        <v>0</v>
      </c>
      <c r="N58" s="33">
        <f>IF('Seaborne Supply'!N57=0,0,('FOB Cost'!N57/(1-Assumptions!$E57/100)+'Freight to Qingdao'!N61)/(1-Assumptions!$D57/100))</f>
        <v>126.73582460011031</v>
      </c>
      <c r="O58" s="33">
        <f>IF('Seaborne Supply'!O57=0,0,('FOB Cost'!O57/(1-Assumptions!$E57/100)+'Freight to Qingdao'!O61)/(1-Assumptions!$D57/100))</f>
        <v>134.78154991726421</v>
      </c>
      <c r="P58" s="33">
        <f>IF('Seaborne Supply'!P57=0,0,('FOB Cost'!P57/(1-Assumptions!$E57/100)+'Freight to Qingdao'!P61)/(1-Assumptions!$D57/100))</f>
        <v>0</v>
      </c>
      <c r="Q58" s="33">
        <f>IF('Seaborne Supply'!Q57=0,0,('FOB Cost'!Q57/(1-Assumptions!$E57/100)+'Freight to Qingdao'!Q61)/(1-Assumptions!$D57/100))</f>
        <v>0</v>
      </c>
      <c r="R58" s="33">
        <f>IF('Seaborne Supply'!R57=0,0,('FOB Cost'!R57/(1-Assumptions!$E57/100)+'Freight to Qingdao'!R61)/(1-Assumptions!$D57/100))</f>
        <v>91.776365140650853</v>
      </c>
      <c r="S58" s="33">
        <f>IF('Seaborne Supply'!S57=0,0,('FOB Cost'!S57/(1-Assumptions!$E57/100)+'Freight to Qingdao'!S61)/(1-Assumptions!$D57/100))</f>
        <v>91.978075013789308</v>
      </c>
      <c r="T58" s="33">
        <f>IF('Seaborne Supply'!T57=0,0,('FOB Cost'!T57/(1-Assumptions!$E57/100)+'Freight to Qingdao'!T61)/(1-Assumptions!$D57/100))</f>
        <v>86.361500275786</v>
      </c>
      <c r="U58" s="33">
        <f>IF('Seaborne Supply'!U57=0,0,('FOB Cost'!U57/(1-Assumptions!$E57/100)+'Freight to Qingdao'!U61)/(1-Assumptions!$D57/100))</f>
        <v>83.340926640926639</v>
      </c>
      <c r="V58" s="33">
        <f>IF('Seaborne Supply'!V57=0,0,('FOB Cost'!V57/(1-Assumptions!$E57/100)+'Freight to Qingdao'!V61)/(1-Assumptions!$D57/100))</f>
        <v>81.69492553778268</v>
      </c>
      <c r="W58" s="33">
        <f>IF('Seaborne Supply'!W57=0,0,('FOB Cost'!W57/(1-Assumptions!$E57/100)+'Freight to Qingdao'!W61)/(1-Assumptions!$D57/100))</f>
        <v>83.290126861555436</v>
      </c>
      <c r="X58" s="33">
        <f>IF('Seaborne Supply'!X57=0,0,('FOB Cost'!X57/(1-Assumptions!$E57/100)+'Freight to Qingdao'!X61)/(1-Assumptions!$D57/100))</f>
        <v>84.995642581356861</v>
      </c>
      <c r="Y58" s="33">
        <f>IF('Seaborne Supply'!Y57=0,0,('FOB Cost'!Y57/(1-Assumptions!$E57/100)+'Freight to Qingdao'!Y61)/(1-Assumptions!$D57/100))</f>
        <v>86.701158301158287</v>
      </c>
      <c r="Z58" s="33">
        <f>IF('Seaborne Supply'!Z57=0,0,('FOB Cost'!Z57/(1-Assumptions!$E57/100)+'Freight to Qingdao'!Z61)/(1-Assumptions!$D57/100))</f>
        <v>88.406674020959727</v>
      </c>
      <c r="AA58" s="33">
        <f>IF('Seaborne Supply'!AA57=0,0,('FOB Cost'!AA57/(1-Assumptions!$E57/100)+'Freight to Qingdao'!AA61)/(1-Assumptions!$D57/100))</f>
        <v>90.112189740761181</v>
      </c>
      <c r="AB58" s="33">
        <f>IF('Seaborne Supply'!AB57=0,0,('FOB Cost'!AB57/(1-Assumptions!$E57/100)+'Freight to Qingdao'!AB61)/(1-Assumptions!$D57/100))</f>
        <v>91.928019856591277</v>
      </c>
    </row>
    <row r="59" spans="1:28" x14ac:dyDescent="0.2">
      <c r="A59" s="7" t="s">
        <v>140</v>
      </c>
      <c r="B59" s="7"/>
      <c r="C59" s="33">
        <f>IF('Seaborne Supply'!C58=0,0,('FOB Cost'!C58/(1-Assumptions!$E58/100)+'Freight to Qingdao'!C62)/(1-Assumptions!$D58/100))</f>
        <v>57.689795918367352</v>
      </c>
      <c r="D59" s="33">
        <f>IF('Seaborne Supply'!D58=0,0,('FOB Cost'!D58/(1-Assumptions!$E58/100)+'Freight to Qingdao'!D62)/(1-Assumptions!$D58/100))</f>
        <v>57.728839957035454</v>
      </c>
      <c r="E59" s="33">
        <f>IF('Seaborne Supply'!E58=0,0,('FOB Cost'!E58/(1-Assumptions!$E58/100)+'Freight to Qingdao'!E62)/(1-Assumptions!$D58/100))</f>
        <v>57.767883995703542</v>
      </c>
      <c r="F59" s="33">
        <f>IF('Seaborne Supply'!F58=0,0,('FOB Cost'!F58/(1-Assumptions!$E58/100)+'Freight to Qingdao'!F62)/(1-Assumptions!$D58/100))</f>
        <v>57.242105263157903</v>
      </c>
      <c r="G59" s="33">
        <f>IF('Seaborne Supply'!G58=0,0,('FOB Cost'!G58/(1-Assumptions!$E58/100)+'Freight to Qingdao'!G62)/(1-Assumptions!$D58/100))</f>
        <v>59.328732545649835</v>
      </c>
      <c r="H59" s="33">
        <f>IF('Seaborne Supply'!H58=0,0,('FOB Cost'!H58/(1-Assumptions!$E58/100)+'Freight to Qingdao'!H62)/(1-Assumptions!$D58/100))</f>
        <v>45.543984962406022</v>
      </c>
      <c r="I59" s="33">
        <f>IF('Seaborne Supply'!I58=0,0,('FOB Cost'!I58/(1-Assumptions!$E58/100)+'Freight to Qingdao'!I62)/(1-Assumptions!$D58/100))</f>
        <v>34.153866809881848</v>
      </c>
      <c r="J59" s="33">
        <f>IF('Seaborne Supply'!J58=0,0,('FOB Cost'!J58/(1-Assumptions!$E58/100)+'Freight to Qingdao'!J62)/(1-Assumptions!$D58/100))</f>
        <v>43.256068743286789</v>
      </c>
      <c r="K59" s="33">
        <f>IF('Seaborne Supply'!K58=0,0,('FOB Cost'!K58/(1-Assumptions!$E58/100)+'Freight to Qingdao'!K62)/(1-Assumptions!$D58/100))</f>
        <v>46.702255639097743</v>
      </c>
      <c r="L59" s="33">
        <f>IF('Seaborne Supply'!L58=0,0,('FOB Cost'!L58/(1-Assumptions!$E58/100)+'Freight to Qingdao'!L62)/(1-Assumptions!$D58/100))</f>
        <v>49.012728249194417</v>
      </c>
      <c r="M59" s="33">
        <f>IF('Seaborne Supply'!M58=0,0,('FOB Cost'!M58/(1-Assumptions!$E58/100)+'Freight to Qingdao'!M62)/(1-Assumptions!$D58/100))</f>
        <v>48.464393125671322</v>
      </c>
      <c r="N59" s="33">
        <f>IF('Seaborne Supply'!N58=0,0,('FOB Cost'!N58/(1-Assumptions!$E58/100)+'Freight to Qingdao'!N62)/(1-Assumptions!$D58/100))</f>
        <v>62.596186895810966</v>
      </c>
      <c r="O59" s="33">
        <f>IF('Seaborne Supply'!O58=0,0,('FOB Cost'!O58/(1-Assumptions!$E58/100)+'Freight to Qingdao'!O62)/(1-Assumptions!$D58/100))</f>
        <v>63.323254564983891</v>
      </c>
      <c r="P59" s="33">
        <f>IF('Seaborne Supply'!P58=0,0,('FOB Cost'!P58/(1-Assumptions!$E58/100)+'Freight to Qingdao'!P62)/(1-Assumptions!$D58/100))</f>
        <v>63.524543501611177</v>
      </c>
      <c r="Q59" s="33">
        <f>IF('Seaborne Supply'!Q58=0,0,('FOB Cost'!Q58/(1-Assumptions!$E58/100)+'Freight to Qingdao'!Q62)/(1-Assumptions!$D58/100))</f>
        <v>67.944199785177233</v>
      </c>
      <c r="R59" s="33">
        <f>IF('Seaborne Supply'!R58=0,0,('FOB Cost'!R58/(1-Assumptions!$E58/100)+'Freight to Qingdao'!R62)/(1-Assumptions!$D58/100))</f>
        <v>70.618206229860363</v>
      </c>
      <c r="S59" s="33">
        <f>IF('Seaborne Supply'!S58=0,0,('FOB Cost'!S58/(1-Assumptions!$E58/100)+'Freight to Qingdao'!S62)/(1-Assumptions!$D58/100))</f>
        <v>73.986305048335126</v>
      </c>
      <c r="T59" s="33">
        <f>IF('Seaborne Supply'!T58=0,0,('FOB Cost'!T58/(1-Assumptions!$E58/100)+'Freight to Qingdao'!T62)/(1-Assumptions!$D58/100))</f>
        <v>70.154027926960254</v>
      </c>
      <c r="U59" s="33">
        <f>IF('Seaborne Supply'!U58=0,0,('FOB Cost'!U58/(1-Assumptions!$E58/100)+'Freight to Qingdao'!U62)/(1-Assumptions!$D58/100))</f>
        <v>68.106444683136417</v>
      </c>
      <c r="V59" s="33">
        <f>IF('Seaborne Supply'!V58=0,0,('FOB Cost'!V58/(1-Assumptions!$E58/100)+'Freight to Qingdao'!V62)/(1-Assumptions!$D58/100))</f>
        <v>67.457465091299682</v>
      </c>
      <c r="W59" s="33">
        <f>IF('Seaborne Supply'!W58=0,0,('FOB Cost'!W58/(1-Assumptions!$E58/100)+'Freight to Qingdao'!W62)/(1-Assumptions!$D58/100))</f>
        <v>0</v>
      </c>
      <c r="X59" s="33">
        <f>IF('Seaborne Supply'!X58=0,0,('FOB Cost'!X58/(1-Assumptions!$E58/100)+'Freight to Qingdao'!X62)/(1-Assumptions!$D58/100))</f>
        <v>0</v>
      </c>
      <c r="Y59" s="33">
        <f>IF('Seaborne Supply'!Y58=0,0,('FOB Cost'!Y58/(1-Assumptions!$E58/100)+'Freight to Qingdao'!Y62)/(1-Assumptions!$D58/100))</f>
        <v>0</v>
      </c>
      <c r="Z59" s="33">
        <f>IF('Seaborne Supply'!Z58=0,0,('FOB Cost'!Z58/(1-Assumptions!$E58/100)+'Freight to Qingdao'!Z62)/(1-Assumptions!$D58/100))</f>
        <v>0</v>
      </c>
      <c r="AA59" s="33">
        <f>IF('Seaborne Supply'!AA58=0,0,('FOB Cost'!AA58/(1-Assumptions!$E58/100)+'Freight to Qingdao'!AA62)/(1-Assumptions!$D58/100))</f>
        <v>0</v>
      </c>
      <c r="AB59" s="33">
        <f>IF('Seaborne Supply'!AB58=0,0,('FOB Cost'!AB58/(1-Assumptions!$E58/100)+'Freight to Qingdao'!AB62)/(1-Assumptions!$D58/100))</f>
        <v>0</v>
      </c>
    </row>
    <row r="60" spans="1:28" x14ac:dyDescent="0.2">
      <c r="A60" s="7" t="s">
        <v>141</v>
      </c>
      <c r="B60" s="7"/>
      <c r="C60" s="33">
        <f>IF('Seaborne Supply'!C59=0,0,('FOB Cost'!C59/(1-Assumptions!$E59/100)+'Freight to Qingdao'!C63)/(1-Assumptions!$D59/100))</f>
        <v>0</v>
      </c>
      <c r="D60" s="33">
        <f>IF('Seaborne Supply'!D59=0,0,('FOB Cost'!D59/(1-Assumptions!$E59/100)+'Freight to Qingdao'!D63)/(1-Assumptions!$D59/100))</f>
        <v>0</v>
      </c>
      <c r="E60" s="33">
        <f>IF('Seaborne Supply'!E59=0,0,('FOB Cost'!E59/(1-Assumptions!$E59/100)+'Freight to Qingdao'!E63)/(1-Assumptions!$D59/100))</f>
        <v>85.076897506925206</v>
      </c>
      <c r="F60" s="33">
        <f>IF('Seaborne Supply'!F59=0,0,('FOB Cost'!F59/(1-Assumptions!$E59/100)+'Freight to Qingdao'!F63)/(1-Assumptions!$D59/100))</f>
        <v>81.210415512465389</v>
      </c>
      <c r="G60" s="33">
        <f>IF('Seaborne Supply'!G59=0,0,('FOB Cost'!G59/(1-Assumptions!$E59/100)+'Freight to Qingdao'!G63)/(1-Assumptions!$D59/100))</f>
        <v>77.822770083102498</v>
      </c>
      <c r="H60" s="33">
        <f>IF('Seaborne Supply'!H59=0,0,('FOB Cost'!H59/(1-Assumptions!$E59/100)+'Freight to Qingdao'!H63)/(1-Assumptions!$D59/100))</f>
        <v>74.683047091412746</v>
      </c>
      <c r="I60" s="33">
        <f>IF('Seaborne Supply'!I59=0,0,('FOB Cost'!I59/(1-Assumptions!$E59/100)+'Freight to Qingdao'!I63)/(1-Assumptions!$D59/100))</f>
        <v>0</v>
      </c>
      <c r="J60" s="33">
        <f>IF('Seaborne Supply'!J59=0,0,('FOB Cost'!J59/(1-Assumptions!$E59/100)+'Freight to Qingdao'!J63)/(1-Assumptions!$D59/100))</f>
        <v>0</v>
      </c>
      <c r="K60" s="33">
        <f>IF('Seaborne Supply'!K59=0,0,('FOB Cost'!K59/(1-Assumptions!$E59/100)+'Freight to Qingdao'!K63)/(1-Assumptions!$D59/100))</f>
        <v>0</v>
      </c>
      <c r="L60" s="33">
        <f>IF('Seaborne Supply'!L59=0,0,('FOB Cost'!L59/(1-Assumptions!$E59/100)+'Freight to Qingdao'!L63)/(1-Assumptions!$D59/100))</f>
        <v>0</v>
      </c>
      <c r="M60" s="33">
        <f>IF('Seaborne Supply'!M59=0,0,('FOB Cost'!M59/(1-Assumptions!$E59/100)+'Freight to Qingdao'!M63)/(1-Assumptions!$D59/100))</f>
        <v>0</v>
      </c>
      <c r="N60" s="33">
        <f>IF('Seaborne Supply'!N59=0,0,('FOB Cost'!N59/(1-Assumptions!$E59/100)+'Freight to Qingdao'!N63)/(1-Assumptions!$D59/100))</f>
        <v>84.517506925207769</v>
      </c>
      <c r="O60" s="33">
        <f>IF('Seaborne Supply'!O59=0,0,('FOB Cost'!O59/(1-Assumptions!$E59/100)+'Freight to Qingdao'!O63)/(1-Assumptions!$D59/100))</f>
        <v>79.727368421052631</v>
      </c>
      <c r="P60" s="33">
        <f>IF('Seaborne Supply'!P59=0,0,('FOB Cost'!P59/(1-Assumptions!$E59/100)+'Freight to Qingdao'!P63)/(1-Assumptions!$D59/100))</f>
        <v>75.50288088642661</v>
      </c>
      <c r="Q60" s="33">
        <f>IF('Seaborne Supply'!Q59=0,0,('FOB Cost'!Q59/(1-Assumptions!$E59/100)+'Freight to Qingdao'!Q63)/(1-Assumptions!$D59/100))</f>
        <v>76.738005540166213</v>
      </c>
      <c r="R60" s="33">
        <f>IF('Seaborne Supply'!R59=0,0,('FOB Cost'!R59/(1-Assumptions!$E59/100)+'Freight to Qingdao'!R63)/(1-Assumptions!$D59/100))</f>
        <v>76.172354570637125</v>
      </c>
      <c r="S60" s="33">
        <f>IF('Seaborne Supply'!S59=0,0,('FOB Cost'!S59/(1-Assumptions!$E59/100)+'Freight to Qingdao'!S63)/(1-Assumptions!$D59/100))</f>
        <v>79.646814404432135</v>
      </c>
      <c r="T60" s="33">
        <f>IF('Seaborne Supply'!T59=0,0,('FOB Cost'!T59/(1-Assumptions!$E59/100)+'Freight to Qingdao'!T63)/(1-Assumptions!$D59/100))</f>
        <v>75.69351800554017</v>
      </c>
      <c r="U60" s="33">
        <f>IF('Seaborne Supply'!U59=0,0,('FOB Cost'!U59/(1-Assumptions!$E59/100)+'Freight to Qingdao'!U63)/(1-Assumptions!$D59/100))</f>
        <v>73.581274238227167</v>
      </c>
      <c r="V60" s="33">
        <f>IF('Seaborne Supply'!V59=0,0,('FOB Cost'!V59/(1-Assumptions!$E59/100)+'Freight to Qingdao'!V63)/(1-Assumptions!$D59/100))</f>
        <v>71.803767313019407</v>
      </c>
      <c r="W60" s="33">
        <f>IF('Seaborne Supply'!W59=0,0,('FOB Cost'!W59/(1-Assumptions!$E59/100)+'Freight to Qingdao'!W63)/(1-Assumptions!$D59/100))</f>
        <v>73.246537396121894</v>
      </c>
      <c r="X60" s="33">
        <f>IF('Seaborne Supply'!X59=0,0,('FOB Cost'!X59/(1-Assumptions!$E59/100)+'Freight to Qingdao'!X63)/(1-Assumptions!$D59/100))</f>
        <v>74.689307479224382</v>
      </c>
      <c r="Y60" s="33">
        <f>IF('Seaborne Supply'!Y59=0,0,('FOB Cost'!Y59/(1-Assumptions!$E59/100)+'Freight to Qingdao'!Y63)/(1-Assumptions!$D59/100))</f>
        <v>76.24288088642659</v>
      </c>
      <c r="Z60" s="33">
        <f>IF('Seaborne Supply'!Z59=0,0,('FOB Cost'!Z59/(1-Assumptions!$E59/100)+'Freight to Qingdao'!Z63)/(1-Assumptions!$D59/100))</f>
        <v>77.685650969529107</v>
      </c>
      <c r="AA60" s="33">
        <f>IF('Seaborne Supply'!AA59=0,0,('FOB Cost'!AA59/(1-Assumptions!$E59/100)+'Freight to Qingdao'!AA63)/(1-Assumptions!$D59/100))</f>
        <v>79.2392243767313</v>
      </c>
      <c r="AB60" s="33">
        <f>IF('Seaborne Supply'!AB59=0,0,('FOB Cost'!AB59/(1-Assumptions!$E59/100)+'Freight to Qingdao'!AB63)/(1-Assumptions!$D59/100))</f>
        <v>80.792797783933523</v>
      </c>
    </row>
    <row r="61" spans="1:28" x14ac:dyDescent="0.2">
      <c r="A61" s="7" t="s">
        <v>142</v>
      </c>
      <c r="B61" s="7"/>
      <c r="C61" s="33">
        <f>IF('Seaborne Supply'!C60=0,0,('FOB Cost'!C60/(1-Assumptions!$E60/100)+'Freight to Qingdao'!C64)/(1-Assumptions!$D60/100))</f>
        <v>80.563844393592674</v>
      </c>
      <c r="D61" s="33">
        <f>IF('Seaborne Supply'!D60=0,0,('FOB Cost'!D60/(1-Assumptions!$E60/100)+'Freight to Qingdao'!D64)/(1-Assumptions!$D60/100))</f>
        <v>60.05286041189931</v>
      </c>
      <c r="E61" s="33">
        <f>IF('Seaborne Supply'!E60=0,0,('FOB Cost'!E60/(1-Assumptions!$E60/100)+'Freight to Qingdao'!E64)/(1-Assumptions!$D60/100))</f>
        <v>64.713501144164766</v>
      </c>
      <c r="F61" s="33">
        <f>IF('Seaborne Supply'!F60=0,0,('FOB Cost'!F60/(1-Assumptions!$E60/100)+'Freight to Qingdao'!F64)/(1-Assumptions!$D60/100))</f>
        <v>65.2649885583524</v>
      </c>
      <c r="G61" s="33">
        <f>IF('Seaborne Supply'!G60=0,0,('FOB Cost'!G60/(1-Assumptions!$E60/100)+'Freight to Qingdao'!G64)/(1-Assumptions!$D60/100))</f>
        <v>65.222196796338679</v>
      </c>
      <c r="H61" s="33">
        <f>IF('Seaborne Supply'!H60=0,0,('FOB Cost'!H60/(1-Assumptions!$E60/100)+'Freight to Qingdao'!H64)/(1-Assumptions!$D60/100))</f>
        <v>0</v>
      </c>
      <c r="I61" s="33">
        <f>IF('Seaborne Supply'!I60=0,0,('FOB Cost'!I60/(1-Assumptions!$E60/100)+'Freight to Qingdao'!I64)/(1-Assumptions!$D60/100))</f>
        <v>60.26201372997712</v>
      </c>
      <c r="J61" s="33">
        <f>IF('Seaborne Supply'!J60=0,0,('FOB Cost'!J60/(1-Assumptions!$E60/100)+'Freight to Qingdao'!J64)/(1-Assumptions!$D60/100))</f>
        <v>65.306178489702518</v>
      </c>
      <c r="K61" s="33">
        <f>IF('Seaborne Supply'!K60=0,0,('FOB Cost'!K60/(1-Assumptions!$E60/100)+'Freight to Qingdao'!K64)/(1-Assumptions!$D60/100))</f>
        <v>0</v>
      </c>
      <c r="L61" s="33">
        <f>IF('Seaborne Supply'!L60=0,0,('FOB Cost'!L60/(1-Assumptions!$E60/100)+'Freight to Qingdao'!L64)/(1-Assumptions!$D60/100))</f>
        <v>0</v>
      </c>
      <c r="M61" s="33">
        <f>IF('Seaborne Supply'!M60=0,0,('FOB Cost'!M60/(1-Assumptions!$E60/100)+'Freight to Qingdao'!M64)/(1-Assumptions!$D60/100))</f>
        <v>0</v>
      </c>
      <c r="N61" s="33">
        <f>IF('Seaborne Supply'!N60=0,0,('FOB Cost'!N60/(1-Assumptions!$E60/100)+'Freight to Qingdao'!N64)/(1-Assumptions!$D60/100))</f>
        <v>0</v>
      </c>
      <c r="O61" s="33">
        <f>IF('Seaborne Supply'!O60=0,0,('FOB Cost'!O60/(1-Assumptions!$E60/100)+'Freight to Qingdao'!O64)/(1-Assumptions!$D60/100))</f>
        <v>0</v>
      </c>
      <c r="P61" s="33">
        <f>IF('Seaborne Supply'!P60=0,0,('FOB Cost'!P60/(1-Assumptions!$E60/100)+'Freight to Qingdao'!P64)/(1-Assumptions!$D60/100))</f>
        <v>0</v>
      </c>
      <c r="Q61" s="33">
        <f>IF('Seaborne Supply'!Q60=0,0,('FOB Cost'!Q60/(1-Assumptions!$E60/100)+'Freight to Qingdao'!Q64)/(1-Assumptions!$D60/100))</f>
        <v>0</v>
      </c>
      <c r="R61" s="33">
        <f>IF('Seaborne Supply'!R60=0,0,('FOB Cost'!R60/(1-Assumptions!$E60/100)+'Freight to Qingdao'!R64)/(1-Assumptions!$D60/100))</f>
        <v>0</v>
      </c>
      <c r="S61" s="33">
        <f>IF('Seaborne Supply'!S60=0,0,('FOB Cost'!S60/(1-Assumptions!$E60/100)+'Freight to Qingdao'!S64)/(1-Assumptions!$D60/100))</f>
        <v>0</v>
      </c>
      <c r="T61" s="33">
        <f>IF('Seaborne Supply'!T60=0,0,('FOB Cost'!T60/(1-Assumptions!$E60/100)+'Freight to Qingdao'!T64)/(1-Assumptions!$D60/100))</f>
        <v>0</v>
      </c>
      <c r="U61" s="33">
        <f>IF('Seaborne Supply'!U60=0,0,('FOB Cost'!U60/(1-Assumptions!$E60/100)+'Freight to Qingdao'!U64)/(1-Assumptions!$D60/100))</f>
        <v>0</v>
      </c>
      <c r="V61" s="33">
        <f>IF('Seaborne Supply'!V60=0,0,('FOB Cost'!V60/(1-Assumptions!$E60/100)+'Freight to Qingdao'!V64)/(1-Assumptions!$D60/100))</f>
        <v>0</v>
      </c>
      <c r="W61" s="33">
        <f>IF('Seaborne Supply'!W60=0,0,('FOB Cost'!W60/(1-Assumptions!$E60/100)+'Freight to Qingdao'!W64)/(1-Assumptions!$D60/100))</f>
        <v>0</v>
      </c>
      <c r="X61" s="33">
        <f>IF('Seaborne Supply'!X60=0,0,('FOB Cost'!X60/(1-Assumptions!$E60/100)+'Freight to Qingdao'!X64)/(1-Assumptions!$D60/100))</f>
        <v>0</v>
      </c>
      <c r="Y61" s="33">
        <f>IF('Seaborne Supply'!Y60=0,0,('FOB Cost'!Y60/(1-Assumptions!$E60/100)+'Freight to Qingdao'!Y64)/(1-Assumptions!$D60/100))</f>
        <v>0</v>
      </c>
      <c r="Z61" s="33">
        <f>IF('Seaborne Supply'!Z60=0,0,('FOB Cost'!Z60/(1-Assumptions!$E60/100)+'Freight to Qingdao'!Z64)/(1-Assumptions!$D60/100))</f>
        <v>0</v>
      </c>
      <c r="AA61" s="33">
        <f>IF('Seaborne Supply'!AA60=0,0,('FOB Cost'!AA60/(1-Assumptions!$E60/100)+'Freight to Qingdao'!AA64)/(1-Assumptions!$D60/100))</f>
        <v>0</v>
      </c>
      <c r="AB61" s="33">
        <f>IF('Seaborne Supply'!AB60=0,0,('FOB Cost'!AB60/(1-Assumptions!$E60/100)+'Freight to Qingdao'!AB64)/(1-Assumptions!$D60/100))</f>
        <v>0</v>
      </c>
    </row>
    <row r="62" spans="1:28" x14ac:dyDescent="0.2">
      <c r="A62" s="7" t="s">
        <v>143</v>
      </c>
      <c r="B62" s="7"/>
      <c r="C62" s="33">
        <f>IF('Seaborne Supply'!C61=0,0,('FOB Cost'!C61/(1-Assumptions!$E61/100)+'Freight to Qingdao'!C65)/(1-Assumptions!$D61/100))</f>
        <v>0</v>
      </c>
      <c r="D62" s="33">
        <f>IF('Seaborne Supply'!D61=0,0,('FOB Cost'!D61/(1-Assumptions!$E61/100)+'Freight to Qingdao'!D65)/(1-Assumptions!$D61/100))</f>
        <v>0</v>
      </c>
      <c r="E62" s="33">
        <f>IF('Seaborne Supply'!E61=0,0,('FOB Cost'!E61/(1-Assumptions!$E61/100)+'Freight to Qingdao'!E65)/(1-Assumptions!$D61/100))</f>
        <v>0</v>
      </c>
      <c r="F62" s="33">
        <f>IF('Seaborne Supply'!F61=0,0,('FOB Cost'!F61/(1-Assumptions!$E61/100)+'Freight to Qingdao'!F65)/(1-Assumptions!$D61/100))</f>
        <v>0</v>
      </c>
      <c r="G62" s="33">
        <f>IF('Seaborne Supply'!G61=0,0,('FOB Cost'!G61/(1-Assumptions!$E61/100)+'Freight to Qingdao'!G65)/(1-Assumptions!$D61/100))</f>
        <v>67.735006747638337</v>
      </c>
      <c r="H62" s="33">
        <f>IF('Seaborne Supply'!H61=0,0,('FOB Cost'!H61/(1-Assumptions!$E61/100)+'Freight to Qingdao'!H65)/(1-Assumptions!$D61/100))</f>
        <v>0</v>
      </c>
      <c r="I62" s="33">
        <f>IF('Seaborne Supply'!I61=0,0,('FOB Cost'!I61/(1-Assumptions!$E61/100)+'Freight to Qingdao'!I65)/(1-Assumptions!$D61/100))</f>
        <v>0</v>
      </c>
      <c r="J62" s="33">
        <f>IF('Seaborne Supply'!J61=0,0,('FOB Cost'!J61/(1-Assumptions!$E61/100)+'Freight to Qingdao'!J65)/(1-Assumptions!$D61/100))</f>
        <v>0</v>
      </c>
      <c r="K62" s="33">
        <f>IF('Seaborne Supply'!K61=0,0,('FOB Cost'!K61/(1-Assumptions!$E61/100)+'Freight to Qingdao'!K65)/(1-Assumptions!$D61/100))</f>
        <v>0</v>
      </c>
      <c r="L62" s="33">
        <f>IF('Seaborne Supply'!L61=0,0,('FOB Cost'!L61/(1-Assumptions!$E61/100)+'Freight to Qingdao'!L65)/(1-Assumptions!$D61/100))</f>
        <v>0</v>
      </c>
      <c r="M62" s="33">
        <f>IF('Seaborne Supply'!M61=0,0,('FOB Cost'!M61/(1-Assumptions!$E61/100)+'Freight to Qingdao'!M65)/(1-Assumptions!$D61/100))</f>
        <v>68.450040485829959</v>
      </c>
      <c r="N62" s="33">
        <f>IF('Seaborne Supply'!N61=0,0,('FOB Cost'!N61/(1-Assumptions!$E61/100)+'Freight to Qingdao'!N65)/(1-Assumptions!$D61/100))</f>
        <v>76.179811066126859</v>
      </c>
      <c r="O62" s="33">
        <f>IF('Seaborne Supply'!O61=0,0,('FOB Cost'!O61/(1-Assumptions!$E61/100)+'Freight to Qingdao'!O65)/(1-Assumptions!$D61/100))</f>
        <v>0</v>
      </c>
      <c r="P62" s="33">
        <f>IF('Seaborne Supply'!P61=0,0,('FOB Cost'!P61/(1-Assumptions!$E61/100)+'Freight to Qingdao'!P65)/(1-Assumptions!$D61/100))</f>
        <v>0</v>
      </c>
      <c r="Q62" s="33">
        <f>IF('Seaborne Supply'!Q61=0,0,('FOB Cost'!Q61/(1-Assumptions!$E61/100)+'Freight to Qingdao'!Q65)/(1-Assumptions!$D61/100))</f>
        <v>0</v>
      </c>
      <c r="R62" s="33">
        <f>IF('Seaborne Supply'!R61=0,0,('FOB Cost'!R61/(1-Assumptions!$E61/100)+'Freight to Qingdao'!R65)/(1-Assumptions!$D61/100))</f>
        <v>84.960917678812422</v>
      </c>
      <c r="S62" s="33">
        <f>IF('Seaborne Supply'!S61=0,0,('FOB Cost'!S61/(1-Assumptions!$E61/100)+'Freight to Qingdao'!S65)/(1-Assumptions!$D61/100))</f>
        <v>93.866396761133601</v>
      </c>
      <c r="T62" s="33">
        <f>IF('Seaborne Supply'!T61=0,0,('FOB Cost'!T61/(1-Assumptions!$E61/100)+'Freight to Qingdao'!T65)/(1-Assumptions!$D61/100))</f>
        <v>0</v>
      </c>
      <c r="U62" s="33">
        <f>IF('Seaborne Supply'!U61=0,0,('FOB Cost'!U61/(1-Assumptions!$E61/100)+'Freight to Qingdao'!U65)/(1-Assumptions!$D61/100))</f>
        <v>0</v>
      </c>
      <c r="V62" s="33">
        <f>IF('Seaborne Supply'!V61=0,0,('FOB Cost'!V61/(1-Assumptions!$E61/100)+'Freight to Qingdao'!V65)/(1-Assumptions!$D61/100))</f>
        <v>0</v>
      </c>
      <c r="W62" s="33">
        <f>IF('Seaborne Supply'!W61=0,0,('FOB Cost'!W61/(1-Assumptions!$E61/100)+'Freight to Qingdao'!W65)/(1-Assumptions!$D61/100))</f>
        <v>0</v>
      </c>
      <c r="X62" s="33">
        <f>IF('Seaborne Supply'!X61=0,0,('FOB Cost'!X61/(1-Assumptions!$E61/100)+'Freight to Qingdao'!X65)/(1-Assumptions!$D61/100))</f>
        <v>0</v>
      </c>
      <c r="Y62" s="33">
        <f>IF('Seaborne Supply'!Y61=0,0,('FOB Cost'!Y61/(1-Assumptions!$E61/100)+'Freight to Qingdao'!Y65)/(1-Assumptions!$D61/100))</f>
        <v>0</v>
      </c>
      <c r="Z62" s="33">
        <f>IF('Seaborne Supply'!Z61=0,0,('FOB Cost'!Z61/(1-Assumptions!$E61/100)+'Freight to Qingdao'!Z65)/(1-Assumptions!$D61/100))</f>
        <v>0</v>
      </c>
      <c r="AA62" s="33">
        <f>IF('Seaborne Supply'!AA61=0,0,('FOB Cost'!AA61/(1-Assumptions!$E61/100)+'Freight to Qingdao'!AA65)/(1-Assumptions!$D61/100))</f>
        <v>0</v>
      </c>
      <c r="AB62" s="33">
        <f>IF('Seaborne Supply'!AB61=0,0,('FOB Cost'!AB61/(1-Assumptions!$E61/100)+'Freight to Qingdao'!AB65)/(1-Assumptions!$D61/100))</f>
        <v>0</v>
      </c>
    </row>
    <row r="63" spans="1:28" x14ac:dyDescent="0.2">
      <c r="A63" s="7" t="s">
        <v>144</v>
      </c>
      <c r="B63" s="7"/>
      <c r="C63" s="33">
        <f>IF('Seaborne Supply'!C62=0,0,('FOB Cost'!C62/(1-Assumptions!$E62/100)+'Freight to Qingdao'!C66)/(1-Assumptions!$D62/100))</f>
        <v>0</v>
      </c>
      <c r="D63" s="33">
        <f>IF('Seaborne Supply'!D62=0,0,('FOB Cost'!D62/(1-Assumptions!$E62/100)+'Freight to Qingdao'!D66)/(1-Assumptions!$D62/100))</f>
        <v>0</v>
      </c>
      <c r="E63" s="33">
        <f>IF('Seaborne Supply'!E62=0,0,('FOB Cost'!E62/(1-Assumptions!$E62/100)+'Freight to Qingdao'!E66)/(1-Assumptions!$D62/100))</f>
        <v>0</v>
      </c>
      <c r="F63" s="33">
        <f>IF('Seaborne Supply'!F62=0,0,('FOB Cost'!F62/(1-Assumptions!$E62/100)+'Freight to Qingdao'!F66)/(1-Assumptions!$D62/100))</f>
        <v>0</v>
      </c>
      <c r="G63" s="33">
        <f>IF('Seaborne Supply'!G62=0,0,('FOB Cost'!G62/(1-Assumptions!$E62/100)+'Freight to Qingdao'!G66)/(1-Assumptions!$D62/100))</f>
        <v>0</v>
      </c>
      <c r="H63" s="33">
        <f>IF('Seaborne Supply'!H62=0,0,('FOB Cost'!H62/(1-Assumptions!$E62/100)+'Freight to Qingdao'!H66)/(1-Assumptions!$D62/100))</f>
        <v>0</v>
      </c>
      <c r="I63" s="33">
        <f>IF('Seaborne Supply'!I62=0,0,('FOB Cost'!I62/(1-Assumptions!$E62/100)+'Freight to Qingdao'!I66)/(1-Assumptions!$D62/100))</f>
        <v>0</v>
      </c>
      <c r="J63" s="33">
        <f>IF('Seaborne Supply'!J62=0,0,('FOB Cost'!J62/(1-Assumptions!$E62/100)+'Freight to Qingdao'!J66)/(1-Assumptions!$D62/100))</f>
        <v>0</v>
      </c>
      <c r="K63" s="33">
        <f>IF('Seaborne Supply'!K62=0,0,('FOB Cost'!K62/(1-Assumptions!$E62/100)+'Freight to Qingdao'!K66)/(1-Assumptions!$D62/100))</f>
        <v>0</v>
      </c>
      <c r="L63" s="33">
        <f>IF('Seaborne Supply'!L62=0,0,('FOB Cost'!L62/(1-Assumptions!$E62/100)+'Freight to Qingdao'!L66)/(1-Assumptions!$D62/100))</f>
        <v>0</v>
      </c>
      <c r="M63" s="33">
        <f>IF('Seaborne Supply'!M62=0,0,('FOB Cost'!M62/(1-Assumptions!$E62/100)+'Freight to Qingdao'!M66)/(1-Assumptions!$D62/100))</f>
        <v>0</v>
      </c>
      <c r="N63" s="33">
        <f>IF('Seaborne Supply'!N62=0,0,('FOB Cost'!N62/(1-Assumptions!$E62/100)+'Freight to Qingdao'!N66)/(1-Assumptions!$D62/100))</f>
        <v>0</v>
      </c>
      <c r="O63" s="33">
        <f>IF('Seaborne Supply'!O62=0,0,('FOB Cost'!O62/(1-Assumptions!$E62/100)+'Freight to Qingdao'!O66)/(1-Assumptions!$D62/100))</f>
        <v>0</v>
      </c>
      <c r="P63" s="33">
        <f>IF('Seaborne Supply'!P62=0,0,('FOB Cost'!P62/(1-Assumptions!$E62/100)+'Freight to Qingdao'!P66)/(1-Assumptions!$D62/100))</f>
        <v>0</v>
      </c>
      <c r="Q63" s="33">
        <f>IF('Seaborne Supply'!Q62=0,0,('FOB Cost'!Q62/(1-Assumptions!$E62/100)+'Freight to Qingdao'!Q66)/(1-Assumptions!$D62/100))</f>
        <v>0</v>
      </c>
      <c r="R63" s="33">
        <f>IF('Seaborne Supply'!R62=0,0,('FOB Cost'!R62/(1-Assumptions!$E62/100)+'Freight to Qingdao'!R66)/(1-Assumptions!$D62/100))</f>
        <v>0</v>
      </c>
      <c r="S63" s="33">
        <f>IF('Seaborne Supply'!S62=0,0,('FOB Cost'!S62/(1-Assumptions!$E62/100)+'Freight to Qingdao'!S66)/(1-Assumptions!$D62/100))</f>
        <v>74.901380670611431</v>
      </c>
      <c r="T63" s="33">
        <f>IF('Seaborne Supply'!T62=0,0,('FOB Cost'!T62/(1-Assumptions!$E62/100)+'Freight to Qingdao'!T66)/(1-Assumptions!$D62/100))</f>
        <v>70.891180614257522</v>
      </c>
      <c r="U63" s="33">
        <f>IF('Seaborne Supply'!U62=0,0,('FOB Cost'!U62/(1-Assumptions!$E62/100)+'Freight to Qingdao'!U66)/(1-Assumptions!$D62/100))</f>
        <v>69.144322344322347</v>
      </c>
      <c r="V63" s="33">
        <f>IF('Seaborne Supply'!V62=0,0,('FOB Cost'!V62/(1-Assumptions!$E62/100)+'Freight to Qingdao'!V66)/(1-Assumptions!$D62/100))</f>
        <v>68.731135531135521</v>
      </c>
      <c r="W63" s="33">
        <f>IF('Seaborne Supply'!W62=0,0,('FOB Cost'!W62/(1-Assumptions!$E62/100)+'Freight to Qingdao'!W66)/(1-Assumptions!$D62/100))</f>
        <v>0</v>
      </c>
      <c r="X63" s="33">
        <f>IF('Seaborne Supply'!X62=0,0,('FOB Cost'!X62/(1-Assumptions!$E62/100)+'Freight to Qingdao'!X66)/(1-Assumptions!$D62/100))</f>
        <v>0</v>
      </c>
      <c r="Y63" s="33">
        <f>IF('Seaborne Supply'!Y62=0,0,('FOB Cost'!Y62/(1-Assumptions!$E62/100)+'Freight to Qingdao'!Y66)/(1-Assumptions!$D62/100))</f>
        <v>0</v>
      </c>
      <c r="Z63" s="33">
        <f>IF('Seaborne Supply'!Z62=0,0,('FOB Cost'!Z62/(1-Assumptions!$E62/100)+'Freight to Qingdao'!Z66)/(1-Assumptions!$D62/100))</f>
        <v>0</v>
      </c>
      <c r="AA63" s="33">
        <f>IF('Seaborne Supply'!AA62=0,0,('FOB Cost'!AA62/(1-Assumptions!$E62/100)+'Freight to Qingdao'!AA66)/(1-Assumptions!$D62/100))</f>
        <v>0</v>
      </c>
      <c r="AB63" s="33">
        <f>IF('Seaborne Supply'!AB62=0,0,('FOB Cost'!AB62/(1-Assumptions!$E62/100)+'Freight to Qingdao'!AB66)/(1-Assumptions!$D62/100))</f>
        <v>0</v>
      </c>
    </row>
    <row r="64" spans="1:28" x14ac:dyDescent="0.2">
      <c r="A64" s="7" t="s">
        <v>145</v>
      </c>
      <c r="B64" s="7"/>
      <c r="C64" s="33">
        <f>IF('Seaborne Supply'!C63=0,0,('FOB Cost'!C63/(1-Assumptions!$E63/100)+'Freight to Qingdao'!C67)/(1-Assumptions!$D63/100))</f>
        <v>0</v>
      </c>
      <c r="D64" s="33">
        <f>IF('Seaborne Supply'!D63=0,0,('FOB Cost'!D63/(1-Assumptions!$E63/100)+'Freight to Qingdao'!D67)/(1-Assumptions!$D63/100))</f>
        <v>0</v>
      </c>
      <c r="E64" s="33">
        <f>IF('Seaborne Supply'!E63=0,0,('FOB Cost'!E63/(1-Assumptions!$E63/100)+'Freight to Qingdao'!E67)/(1-Assumptions!$D63/100))</f>
        <v>0</v>
      </c>
      <c r="F64" s="33">
        <f>IF('Seaborne Supply'!F63=0,0,('FOB Cost'!F63/(1-Assumptions!$E63/100)+'Freight to Qingdao'!F67)/(1-Assumptions!$D63/100))</f>
        <v>0</v>
      </c>
      <c r="G64" s="33">
        <f>IF('Seaborne Supply'!G63=0,0,('FOB Cost'!G63/(1-Assumptions!$E63/100)+'Freight to Qingdao'!G67)/(1-Assumptions!$D63/100))</f>
        <v>0</v>
      </c>
      <c r="H64" s="33">
        <f>IF('Seaborne Supply'!H63=0,0,('FOB Cost'!H63/(1-Assumptions!$E63/100)+'Freight to Qingdao'!H67)/(1-Assumptions!$D63/100))</f>
        <v>0</v>
      </c>
      <c r="I64" s="33">
        <f>IF('Seaborne Supply'!I63=0,0,('FOB Cost'!I63/(1-Assumptions!$E63/100)+'Freight to Qingdao'!I67)/(1-Assumptions!$D63/100))</f>
        <v>0</v>
      </c>
      <c r="J64" s="33">
        <f>IF('Seaborne Supply'!J63=0,0,('FOB Cost'!J63/(1-Assumptions!$E63/100)+'Freight to Qingdao'!J67)/(1-Assumptions!$D63/100))</f>
        <v>0</v>
      </c>
      <c r="K64" s="33">
        <f>IF('Seaborne Supply'!K63=0,0,('FOB Cost'!K63/(1-Assumptions!$E63/100)+'Freight to Qingdao'!K67)/(1-Assumptions!$D63/100))</f>
        <v>0</v>
      </c>
      <c r="L64" s="33">
        <f>IF('Seaborne Supply'!L63=0,0,('FOB Cost'!L63/(1-Assumptions!$E63/100)+'Freight to Qingdao'!L67)/(1-Assumptions!$D63/100))</f>
        <v>0</v>
      </c>
      <c r="M64" s="33">
        <f>IF('Seaborne Supply'!M63=0,0,('FOB Cost'!M63/(1-Assumptions!$E63/100)+'Freight to Qingdao'!M67)/(1-Assumptions!$D63/100))</f>
        <v>0</v>
      </c>
      <c r="N64" s="33">
        <f>IF('Seaborne Supply'!N63=0,0,('FOB Cost'!N63/(1-Assumptions!$E63/100)+'Freight to Qingdao'!N67)/(1-Assumptions!$D63/100))</f>
        <v>0</v>
      </c>
      <c r="O64" s="33">
        <f>IF('Seaborne Supply'!O63=0,0,('FOB Cost'!O63/(1-Assumptions!$E63/100)+'Freight to Qingdao'!O67)/(1-Assumptions!$D63/100))</f>
        <v>0</v>
      </c>
      <c r="P64" s="33">
        <f>IF('Seaborne Supply'!P63=0,0,('FOB Cost'!P63/(1-Assumptions!$E63/100)+'Freight to Qingdao'!P67)/(1-Assumptions!$D63/100))</f>
        <v>0</v>
      </c>
      <c r="Q64" s="33">
        <f>IF('Seaborne Supply'!Q63=0,0,('FOB Cost'!Q63/(1-Assumptions!$E63/100)+'Freight to Qingdao'!Q67)/(1-Assumptions!$D63/100))</f>
        <v>0</v>
      </c>
      <c r="R64" s="33">
        <f>IF('Seaborne Supply'!R63=0,0,('FOB Cost'!R63/(1-Assumptions!$E63/100)+'Freight to Qingdao'!R67)/(1-Assumptions!$D63/100))</f>
        <v>0</v>
      </c>
      <c r="S64" s="33">
        <f>IF('Seaborne Supply'!S63=0,0,('FOB Cost'!S63/(1-Assumptions!$E63/100)+'Freight to Qingdao'!S67)/(1-Assumptions!$D63/100))</f>
        <v>87.142448512585801</v>
      </c>
      <c r="T64" s="33">
        <f>IF('Seaborne Supply'!T63=0,0,('FOB Cost'!T63/(1-Assumptions!$E63/100)+'Freight to Qingdao'!T67)/(1-Assumptions!$D63/100))</f>
        <v>79.684668192219675</v>
      </c>
      <c r="U64" s="33">
        <f>IF('Seaborne Supply'!U63=0,0,('FOB Cost'!U63/(1-Assumptions!$E63/100)+'Freight to Qingdao'!U67)/(1-Assumptions!$D63/100))</f>
        <v>76.783295194508</v>
      </c>
      <c r="V64" s="33">
        <f>IF('Seaborne Supply'!V63=0,0,('FOB Cost'!V63/(1-Assumptions!$E63/100)+'Freight to Qingdao'!V67)/(1-Assumptions!$D63/100))</f>
        <v>76.374599542334096</v>
      </c>
      <c r="W64" s="33">
        <f>IF('Seaborne Supply'!W63=0,0,('FOB Cost'!W63/(1-Assumptions!$E63/100)+'Freight to Qingdao'!W67)/(1-Assumptions!$D63/100))</f>
        <v>0</v>
      </c>
      <c r="X64" s="33">
        <f>IF('Seaborne Supply'!X63=0,0,('FOB Cost'!X63/(1-Assumptions!$E63/100)+'Freight to Qingdao'!X67)/(1-Assumptions!$D63/100))</f>
        <v>0</v>
      </c>
      <c r="Y64" s="33">
        <f>IF('Seaborne Supply'!Y63=0,0,('FOB Cost'!Y63/(1-Assumptions!$E63/100)+'Freight to Qingdao'!Y67)/(1-Assumptions!$D63/100))</f>
        <v>0</v>
      </c>
      <c r="Z64" s="33">
        <f>IF('Seaborne Supply'!Z63=0,0,('FOB Cost'!Z63/(1-Assumptions!$E63/100)+'Freight to Qingdao'!Z67)/(1-Assumptions!$D63/100))</f>
        <v>0</v>
      </c>
      <c r="AA64" s="33">
        <f>IF('Seaborne Supply'!AA63=0,0,('FOB Cost'!AA63/(1-Assumptions!$E63/100)+'Freight to Qingdao'!AA67)/(1-Assumptions!$D63/100))</f>
        <v>0</v>
      </c>
      <c r="AB64" s="33">
        <f>IF('Seaborne Supply'!AB63=0,0,('FOB Cost'!AB63/(1-Assumptions!$E63/100)+'Freight to Qingdao'!AB67)/(1-Assumptions!$D63/100))</f>
        <v>0</v>
      </c>
    </row>
    <row r="65" spans="1:28" x14ac:dyDescent="0.2">
      <c r="A65" s="7" t="s">
        <v>286</v>
      </c>
      <c r="B65" s="7"/>
      <c r="C65" s="33">
        <f>IF('Seaborne Supply'!C64=0,0,('FOB Cost'!C64/(1-Assumptions!$E64/100)+'Freight to Qingdao'!C68)/(1-Assumptions!$D64/100))</f>
        <v>75.256410256410263</v>
      </c>
      <c r="D65" s="33">
        <f>IF('Seaborne Supply'!D64=0,0,('FOB Cost'!D64/(1-Assumptions!$E64/100)+'Freight to Qingdao'!D68)/(1-Assumptions!$D64/100))</f>
        <v>74.786324786324798</v>
      </c>
      <c r="E65" s="33">
        <f>IF('Seaborne Supply'!E64=0,0,('FOB Cost'!E64/(1-Assumptions!$E64/100)+'Freight to Qingdao'!E68)/(1-Assumptions!$D64/100))</f>
        <v>75.470085470085479</v>
      </c>
      <c r="F65" s="33">
        <f>IF('Seaborne Supply'!F64=0,0,('FOB Cost'!F64/(1-Assumptions!$E64/100)+'Freight to Qingdao'!F68)/(1-Assumptions!$D64/100))</f>
        <v>74.05982905982907</v>
      </c>
      <c r="G65" s="33">
        <f>IF('Seaborne Supply'!G64=0,0,('FOB Cost'!G64/(1-Assumptions!$E64/100)+'Freight to Qingdao'!G68)/(1-Assumptions!$D64/100))</f>
        <v>64.871794871794876</v>
      </c>
      <c r="H65" s="33">
        <f>IF('Seaborne Supply'!H64=0,0,('FOB Cost'!H64/(1-Assumptions!$E64/100)+'Freight to Qingdao'!H68)/(1-Assumptions!$D64/100))</f>
        <v>43.205128205128204</v>
      </c>
      <c r="I65" s="33">
        <f>IF('Seaborne Supply'!I64=0,0,('FOB Cost'!I64/(1-Assumptions!$E64/100)+'Freight to Qingdao'!I68)/(1-Assumptions!$D64/100))</f>
        <v>37.307692307692307</v>
      </c>
      <c r="J65" s="33">
        <f>IF('Seaborne Supply'!J64=0,0,('FOB Cost'!J64/(1-Assumptions!$E64/100)+'Freight to Qingdao'!J68)/(1-Assumptions!$D64/100))</f>
        <v>47.264957264957268</v>
      </c>
      <c r="K65" s="33">
        <f>IF('Seaborne Supply'!K64=0,0,('FOB Cost'!K64/(1-Assumptions!$E64/100)+'Freight to Qingdao'!K68)/(1-Assumptions!$D64/100))</f>
        <v>53.504273504273513</v>
      </c>
      <c r="L65" s="33">
        <f>IF('Seaborne Supply'!L64=0,0,('FOB Cost'!L64/(1-Assumptions!$E64/100)+'Freight to Qingdao'!L68)/(1-Assumptions!$D64/100))</f>
        <v>54.82905982905983</v>
      </c>
      <c r="M65" s="33">
        <f>IF('Seaborne Supply'!M64=0,0,('FOB Cost'!M64/(1-Assumptions!$E64/100)+'Freight to Qingdao'!M68)/(1-Assumptions!$D64/100))</f>
        <v>48.888888888888893</v>
      </c>
      <c r="N65" s="33">
        <f>IF('Seaborne Supply'!N64=0,0,('FOB Cost'!N64/(1-Assumptions!$E64/100)+'Freight to Qingdao'!N68)/(1-Assumptions!$D64/100))</f>
        <v>71.623931623931639</v>
      </c>
      <c r="O65" s="33">
        <f>IF('Seaborne Supply'!O64=0,0,('FOB Cost'!O64/(1-Assumptions!$E64/100)+'Freight to Qingdao'!O68)/(1-Assumptions!$D64/100))</f>
        <v>75.641025641025649</v>
      </c>
      <c r="P65" s="33">
        <f>IF('Seaborne Supply'!P64=0,0,('FOB Cost'!P64/(1-Assumptions!$E64/100)+'Freight to Qingdao'!P68)/(1-Assumptions!$D64/100))</f>
        <v>73.931623931623946</v>
      </c>
      <c r="Q65" s="33">
        <f>IF('Seaborne Supply'!Q64=0,0,('FOB Cost'!Q64/(1-Assumptions!$E64/100)+'Freight to Qingdao'!Q68)/(1-Assumptions!$D64/100))</f>
        <v>81.196581196581207</v>
      </c>
      <c r="R65" s="33">
        <f>IF('Seaborne Supply'!R64=0,0,('FOB Cost'!R64/(1-Assumptions!$E64/100)+'Freight to Qingdao'!R68)/(1-Assumptions!$D64/100))</f>
        <v>78.290598290598297</v>
      </c>
      <c r="S65" s="33">
        <f>IF('Seaborne Supply'!S64=0,0,('FOB Cost'!S64/(1-Assumptions!$E64/100)+'Freight to Qingdao'!S68)/(1-Assumptions!$D64/100))</f>
        <v>90.918803418803435</v>
      </c>
      <c r="T65" s="33">
        <f>IF('Seaborne Supply'!T64=0,0,('FOB Cost'!T64/(1-Assumptions!$E64/100)+'Freight to Qingdao'!T68)/(1-Assumptions!$D64/100))</f>
        <v>84.935897435897431</v>
      </c>
      <c r="U65" s="33">
        <f>IF('Seaborne Supply'!U64=0,0,('FOB Cost'!U64/(1-Assumptions!$E64/100)+'Freight to Qingdao'!U68)/(1-Assumptions!$D64/100))</f>
        <v>83.055555555555543</v>
      </c>
      <c r="V65" s="33">
        <f>IF('Seaborne Supply'!V64=0,0,('FOB Cost'!V64/(1-Assumptions!$E64/100)+'Freight to Qingdao'!V68)/(1-Assumptions!$D64/100))</f>
        <v>82.329059829059844</v>
      </c>
      <c r="W65" s="33">
        <f>IF('Seaborne Supply'!W64=0,0,('FOB Cost'!W64/(1-Assumptions!$E64/100)+'Freight to Qingdao'!W68)/(1-Assumptions!$D64/100))</f>
        <v>83.910256410256409</v>
      </c>
      <c r="X65" s="33">
        <f>IF('Seaborne Supply'!X64=0,0,('FOB Cost'!X64/(1-Assumptions!$E64/100)+'Freight to Qingdao'!X68)/(1-Assumptions!$D64/100))</f>
        <v>85.619658119658112</v>
      </c>
      <c r="Y65" s="33">
        <f>IF('Seaborne Supply'!Y64=0,0,('FOB Cost'!Y64/(1-Assumptions!$E64/100)+'Freight to Qingdao'!Y68)/(1-Assumptions!$D64/100))</f>
        <v>87.307692307692307</v>
      </c>
      <c r="Z65" s="33">
        <f>IF('Seaborne Supply'!Z64=0,0,('FOB Cost'!Z64/(1-Assumptions!$E64/100)+'Freight to Qingdao'!Z68)/(1-Assumptions!$D64/100))</f>
        <v>89.123931623931639</v>
      </c>
      <c r="AA65" s="33">
        <f>IF('Seaborne Supply'!AA64=0,0,('FOB Cost'!AA64/(1-Assumptions!$E64/100)+'Freight to Qingdao'!AA68)/(1-Assumptions!$D64/100))</f>
        <v>90.940170940170944</v>
      </c>
      <c r="AB65" s="33">
        <f>IF('Seaborne Supply'!AB64=0,0,('FOB Cost'!AB64/(1-Assumptions!$E64/100)+'Freight to Qingdao'!AB68)/(1-Assumptions!$D64/100))</f>
        <v>92.756410256410263</v>
      </c>
    </row>
    <row r="66" spans="1:28" x14ac:dyDescent="0.2">
      <c r="A66" s="7" t="s">
        <v>289</v>
      </c>
      <c r="B66" s="7"/>
      <c r="C66" s="33">
        <f>IF('Seaborne Supply'!C65=0,0,('FOB Cost'!C65/(1-Assumptions!$E65/100)+'Freight to Qingdao'!C69)/(1-Assumptions!$D65/100))</f>
        <v>56.758769705655389</v>
      </c>
      <c r="D66" s="33">
        <f>IF('Seaborne Supply'!D65=0,0,('FOB Cost'!D65/(1-Assumptions!$E65/100)+'Freight to Qingdao'!D69)/(1-Assumptions!$D65/100))</f>
        <v>59.54856134935509</v>
      </c>
      <c r="E66" s="33">
        <f>IF('Seaborne Supply'!E65=0,0,('FOB Cost'!E65/(1-Assumptions!$E65/100)+'Freight to Qingdao'!E69)/(1-Assumptions!$D65/100))</f>
        <v>61.898114871568737</v>
      </c>
      <c r="F66" s="33">
        <f>IF('Seaborne Supply'!F65=0,0,('FOB Cost'!F65/(1-Assumptions!$E65/100)+'Freight to Qingdao'!F69)/(1-Assumptions!$D65/100))</f>
        <v>61.825752397751081</v>
      </c>
      <c r="G66" s="33">
        <f>IF('Seaborne Supply'!G65=0,0,('FOB Cost'!G65/(1-Assumptions!$E65/100)+'Freight to Qingdao'!G69)/(1-Assumptions!$D65/100))</f>
        <v>58.150633888215189</v>
      </c>
      <c r="H66" s="33">
        <f>IF('Seaborne Supply'!H65=0,0,('FOB Cost'!H65/(1-Assumptions!$E65/100)+'Freight to Qingdao'!H69)/(1-Assumptions!$D65/100))</f>
        <v>42.415257413736079</v>
      </c>
      <c r="I66" s="33">
        <f>IF('Seaborne Supply'!I65=0,0,('FOB Cost'!I65/(1-Assumptions!$E65/100)+'Freight to Qingdao'!I69)/(1-Assumptions!$D65/100))</f>
        <v>37.011729688016757</v>
      </c>
      <c r="J66" s="33">
        <f>IF('Seaborne Supply'!J65=0,0,('FOB Cost'!J65/(1-Assumptions!$E65/100)+'Freight to Qingdao'!J69)/(1-Assumptions!$D65/100))</f>
        <v>42.602226876860328</v>
      </c>
      <c r="K66" s="33">
        <f>IF('Seaborne Supply'!K65=0,0,('FOB Cost'!K65/(1-Assumptions!$E65/100)+'Freight to Qingdao'!K69)/(1-Assumptions!$D65/100))</f>
        <v>44.956631021938051</v>
      </c>
      <c r="L66" s="33">
        <f>IF('Seaborne Supply'!L65=0,0,('FOB Cost'!L65/(1-Assumptions!$E65/100)+'Freight to Qingdao'!L69)/(1-Assumptions!$D65/100))</f>
        <v>44.552574137360828</v>
      </c>
      <c r="M66" s="33">
        <f>IF('Seaborne Supply'!M65=0,0,('FOB Cost'!M65/(1-Assumptions!$E65/100)+'Freight to Qingdao'!M69)/(1-Assumptions!$D65/100))</f>
        <v>40.654304927791863</v>
      </c>
      <c r="N66" s="33">
        <f>IF('Seaborne Supply'!N65=0,0,('FOB Cost'!N65/(1-Assumptions!$E65/100)+'Freight to Qingdao'!N69)/(1-Assumptions!$D65/100))</f>
        <v>56.024231066034609</v>
      </c>
      <c r="O66" s="33">
        <f>IF('Seaborne Supply'!O65=0,0,('FOB Cost'!O65/(1-Assumptions!$E65/100)+'Freight to Qingdao'!O69)/(1-Assumptions!$D65/100))</f>
        <v>54.588909712269874</v>
      </c>
      <c r="P66" s="33">
        <f>IF('Seaborne Supply'!P65=0,0,('FOB Cost'!P65/(1-Assumptions!$E65/100)+'Freight to Qingdao'!P69)/(1-Assumptions!$D65/100))</f>
        <v>56.460588689229418</v>
      </c>
      <c r="Q66" s="33">
        <f>IF('Seaborne Supply'!Q65=0,0,('FOB Cost'!Q65/(1-Assumptions!$E65/100)+'Freight to Qingdao'!Q69)/(1-Assumptions!$D65/100))</f>
        <v>60.506008157865736</v>
      </c>
      <c r="R66" s="33">
        <f>IF('Seaborne Supply'!R65=0,0,('FOB Cost'!R65/(1-Assumptions!$E65/100)+'Freight to Qingdao'!R69)/(1-Assumptions!$D65/100))</f>
        <v>61.091456289273509</v>
      </c>
      <c r="S66" s="33">
        <f>IF('Seaborne Supply'!S65=0,0,('FOB Cost'!S65/(1-Assumptions!$E65/100)+'Freight to Qingdao'!S69)/(1-Assumptions!$D65/100))</f>
        <v>72.857898798368424</v>
      </c>
      <c r="T66" s="33">
        <f>IF('Seaborne Supply'!T65=0,0,('FOB Cost'!T65/(1-Assumptions!$E65/100)+'Freight to Qingdao'!T69)/(1-Assumptions!$D65/100))</f>
        <v>69.803439532576348</v>
      </c>
      <c r="U66" s="33">
        <f>IF('Seaborne Supply'!U65=0,0,('FOB Cost'!U65/(1-Assumptions!$E65/100)+'Freight to Qingdao'!U69)/(1-Assumptions!$D65/100))</f>
        <v>69.103384411861981</v>
      </c>
      <c r="V66" s="33">
        <f>IF('Seaborne Supply'!V65=0,0,('FOB Cost'!V65/(1-Assumptions!$E65/100)+'Freight to Qingdao'!V69)/(1-Assumptions!$D65/100))</f>
        <v>69.175746885679644</v>
      </c>
      <c r="W66" s="33">
        <f>IF('Seaborne Supply'!W65=0,0,('FOB Cost'!W65/(1-Assumptions!$E65/100)+'Freight to Qingdao'!W69)/(1-Assumptions!$D65/100))</f>
        <v>70.462220262374601</v>
      </c>
      <c r="X66" s="33">
        <f>IF('Seaborne Supply'!X65=0,0,('FOB Cost'!X65/(1-Assumptions!$E65/100)+'Freight to Qingdao'!X69)/(1-Assumptions!$D65/100))</f>
        <v>71.932510197332164</v>
      </c>
      <c r="Y66" s="33">
        <f>IF('Seaborne Supply'!Y65=0,0,('FOB Cost'!Y65/(1-Assumptions!$E65/100)+'Freight to Qingdao'!Y69)/(1-Assumptions!$D65/100))</f>
        <v>73.329225002756047</v>
      </c>
      <c r="Z66" s="33">
        <f>IF('Seaborne Supply'!Z65=0,0,('FOB Cost'!Z65/(1-Assumptions!$E65/100)+'Freight to Qingdao'!Z69)/(1-Assumptions!$D65/100))</f>
        <v>74.79951493771361</v>
      </c>
      <c r="AA66" s="33">
        <f>IF('Seaborne Supply'!AA65=0,0,('FOB Cost'!AA65/(1-Assumptions!$E65/100)+'Freight to Qingdao'!AA69)/(1-Assumptions!$D65/100))</f>
        <v>76.380046301400085</v>
      </c>
      <c r="AB66" s="33">
        <f>IF('Seaborne Supply'!AB65=0,0,('FOB Cost'!AB65/(1-Assumptions!$E65/100)+'Freight to Qingdao'!AB69)/(1-Assumptions!$D65/100))</f>
        <v>77.850336236357634</v>
      </c>
    </row>
    <row r="67" spans="1:28" x14ac:dyDescent="0.2">
      <c r="A67" s="7" t="s">
        <v>292</v>
      </c>
      <c r="B67" s="7"/>
      <c r="C67" s="33">
        <f>IF('Seaborne Supply'!C66=0,0,('FOB Cost'!C66/(1-Assumptions!$E66/100)+'Freight to Qingdao'!C70)/(1-Assumptions!$D66/100))</f>
        <v>0</v>
      </c>
      <c r="D67" s="33">
        <f>IF('Seaborne Supply'!D66=0,0,('FOB Cost'!D66/(1-Assumptions!$E66/100)+'Freight to Qingdao'!D70)/(1-Assumptions!$D66/100))</f>
        <v>109.77863276458125</v>
      </c>
      <c r="E67" s="33">
        <f>IF('Seaborne Supply'!E66=0,0,('FOB Cost'!E66/(1-Assumptions!$E66/100)+'Freight to Qingdao'!E70)/(1-Assumptions!$D66/100))</f>
        <v>98.174216571874638</v>
      </c>
      <c r="F67" s="33">
        <f>IF('Seaborne Supply'!F66=0,0,('FOB Cost'!F66/(1-Assumptions!$E66/100)+'Freight to Qingdao'!F70)/(1-Assumptions!$D66/100))</f>
        <v>97.842823686851787</v>
      </c>
      <c r="G67" s="33">
        <f>IF('Seaborne Supply'!G66=0,0,('FOB Cost'!G66/(1-Assumptions!$E66/100)+'Freight to Qingdao'!G70)/(1-Assumptions!$D66/100))</f>
        <v>94.535920597747307</v>
      </c>
      <c r="H67" s="33">
        <f>IF('Seaborne Supply'!H66=0,0,('FOB Cost'!H66/(1-Assumptions!$E66/100)+'Freight to Qingdao'!H70)/(1-Assumptions!$D66/100))</f>
        <v>64.260867625738825</v>
      </c>
      <c r="I67" s="33">
        <f>IF('Seaborne Supply'!I66=0,0,('FOB Cost'!I66/(1-Assumptions!$E66/100)+'Freight to Qingdao'!I70)/(1-Assumptions!$D66/100))</f>
        <v>56.393955615032901</v>
      </c>
      <c r="J67" s="33">
        <f>IF('Seaborne Supply'!J66=0,0,('FOB Cost'!J66/(1-Assumptions!$E66/100)+'Freight to Qingdao'!J70)/(1-Assumptions!$D66/100))</f>
        <v>70.642489126798253</v>
      </c>
      <c r="K67" s="33">
        <f>IF('Seaborne Supply'!K66=0,0,('FOB Cost'!K66/(1-Assumptions!$E66/100)+'Freight to Qingdao'!K70)/(1-Assumptions!$D66/100))</f>
        <v>78.647306791569079</v>
      </c>
      <c r="L67" s="33">
        <f>IF('Seaborne Supply'!L66=0,0,('FOB Cost'!L66/(1-Assumptions!$E66/100)+'Freight to Qingdao'!L70)/(1-Assumptions!$D66/100))</f>
        <v>80.193108062897281</v>
      </c>
      <c r="M67" s="33">
        <f>IF('Seaborne Supply'!M66=0,0,('FOB Cost'!M66/(1-Assumptions!$E66/100)+'Freight to Qingdao'!M70)/(1-Assumptions!$D66/100))</f>
        <v>73.126887476302002</v>
      </c>
      <c r="N67" s="33">
        <f>IF('Seaborne Supply'!N66=0,0,('FOB Cost'!N66/(1-Assumptions!$E66/100)+'Freight to Qingdao'!N70)/(1-Assumptions!$D66/100))</f>
        <v>100.97805286048846</v>
      </c>
      <c r="O67" s="33">
        <f>IF('Seaborne Supply'!O66=0,0,('FOB Cost'!O66/(1-Assumptions!$E66/100)+'Freight to Qingdao'!O70)/(1-Assumptions!$D66/100))</f>
        <v>98.510538641686182</v>
      </c>
      <c r="P67" s="33">
        <f>IF('Seaborne Supply'!P66=0,0,('FOB Cost'!P66/(1-Assumptions!$E66/100)+'Freight to Qingdao'!P70)/(1-Assumptions!$D66/100))</f>
        <v>93.166722426675591</v>
      </c>
      <c r="Q67" s="33">
        <f>IF('Seaborne Supply'!Q66=0,0,('FOB Cost'!Q66/(1-Assumptions!$E66/100)+'Freight to Qingdao'!Q70)/(1-Assumptions!$D66/100))</f>
        <v>105.12434481989517</v>
      </c>
      <c r="R67" s="33">
        <f>IF('Seaborne Supply'!R66=0,0,('FOB Cost'!R66/(1-Assumptions!$E66/100)+'Freight to Qingdao'!R70)/(1-Assumptions!$D66/100))</f>
        <v>100.68042823686851</v>
      </c>
      <c r="S67" s="33">
        <f>IF('Seaborne Supply'!S66=0,0,('FOB Cost'!S66/(1-Assumptions!$E66/100)+'Freight to Qingdao'!S70)/(1-Assumptions!$D66/100))</f>
        <v>113.5815768930523</v>
      </c>
      <c r="T67" s="33">
        <f>IF('Seaborne Supply'!T66=0,0,('FOB Cost'!T66/(1-Assumptions!$E66/100)+'Freight to Qingdao'!T70)/(1-Assumptions!$D66/100))</f>
        <v>99.509646481543427</v>
      </c>
      <c r="U67" s="33">
        <f>IF('Seaborne Supply'!U66=0,0,('FOB Cost'!U66/(1-Assumptions!$E66/100)+'Freight to Qingdao'!U70)/(1-Assumptions!$D66/100))</f>
        <v>93.442533734805394</v>
      </c>
      <c r="V67" s="33">
        <f>IF('Seaborne Supply'!V66=0,0,('FOB Cost'!V66/(1-Assumptions!$E66/100)+'Freight to Qingdao'!V70)/(1-Assumptions!$D66/100))</f>
        <v>90.428326084532173</v>
      </c>
      <c r="W67" s="33">
        <f>IF('Seaborne Supply'!W66=0,0,('FOB Cost'!W66/(1-Assumptions!$E66/100)+'Freight to Qingdao'!W70)/(1-Assumptions!$D66/100))</f>
        <v>92.18168841307012</v>
      </c>
      <c r="X67" s="33">
        <f>IF('Seaborne Supply'!X66=0,0,('FOB Cost'!X66/(1-Assumptions!$E66/100)+'Freight to Qingdao'!X70)/(1-Assumptions!$D66/100))</f>
        <v>94.150351288056214</v>
      </c>
      <c r="Y67" s="33">
        <f>IF('Seaborne Supply'!Y66=0,0,('FOB Cost'!Y66/(1-Assumptions!$E66/100)+'Freight to Qingdao'!Y70)/(1-Assumptions!$D66/100))</f>
        <v>95.903713616594175</v>
      </c>
      <c r="Z67" s="33">
        <f>IF('Seaborne Supply'!Z66=0,0,('FOB Cost'!Z66/(1-Assumptions!$E66/100)+'Freight to Qingdao'!Z70)/(1-Assumptions!$D66/100))</f>
        <v>97.872376491580241</v>
      </c>
      <c r="AA67" s="33">
        <f>IF('Seaborne Supply'!AA66=0,0,('FOB Cost'!AA66/(1-Assumptions!$E66/100)+'Freight to Qingdao'!AA70)/(1-Assumptions!$D66/100))</f>
        <v>99.952559384409511</v>
      </c>
      <c r="AB67" s="33">
        <f>IF('Seaborne Supply'!AB66=0,0,('FOB Cost'!AB66/(1-Assumptions!$E66/100)+'Freight to Qingdao'!AB70)/(1-Assumptions!$D66/100))</f>
        <v>102.03274227723877</v>
      </c>
    </row>
    <row r="68" spans="1:28" x14ac:dyDescent="0.2">
      <c r="A68" s="7" t="s">
        <v>298</v>
      </c>
      <c r="B68" s="7"/>
      <c r="C68" s="33">
        <f>IF('Seaborne Supply'!C67=0,0,('FOB Cost'!C67/(1-Assumptions!$E67/100)+'Freight to Qingdao'!C71)/(1-Assumptions!$D67/100))</f>
        <v>0</v>
      </c>
      <c r="D68" s="33">
        <f>IF('Seaborne Supply'!D67=0,0,('FOB Cost'!D67/(1-Assumptions!$E67/100)+'Freight to Qingdao'!D71)/(1-Assumptions!$D67/100))</f>
        <v>0</v>
      </c>
      <c r="E68" s="33">
        <f>IF('Seaborne Supply'!E67=0,0,('FOB Cost'!E67/(1-Assumptions!$E67/100)+'Freight to Qingdao'!E71)/(1-Assumptions!$D67/100))</f>
        <v>0</v>
      </c>
      <c r="F68" s="33">
        <f>IF('Seaborne Supply'!F67=0,0,('FOB Cost'!F67/(1-Assumptions!$E67/100)+'Freight to Qingdao'!F71)/(1-Assumptions!$D67/100))</f>
        <v>0</v>
      </c>
      <c r="G68" s="33">
        <f>IF('Seaborne Supply'!G67=0,0,('FOB Cost'!G67/(1-Assumptions!$E67/100)+'Freight to Qingdao'!G71)/(1-Assumptions!$D67/100))</f>
        <v>0</v>
      </c>
      <c r="H68" s="33">
        <f>IF('Seaborne Supply'!H67=0,0,('FOB Cost'!H67/(1-Assumptions!$E67/100)+'Freight to Qingdao'!H71)/(1-Assumptions!$D67/100))</f>
        <v>95.713024234900431</v>
      </c>
      <c r="I68" s="33">
        <f>IF('Seaborne Supply'!I67=0,0,('FOB Cost'!I67/(1-Assumptions!$E67/100)+'Freight to Qingdao'!I71)/(1-Assumptions!$D67/100))</f>
        <v>54.233610406433861</v>
      </c>
      <c r="J68" s="33">
        <f>IF('Seaborne Supply'!J67=0,0,('FOB Cost'!J67/(1-Assumptions!$E67/100)+'Freight to Qingdao'!J71)/(1-Assumptions!$D67/100))</f>
        <v>77.679019808927521</v>
      </c>
      <c r="K68" s="33">
        <f>IF('Seaborne Supply'!K67=0,0,('FOB Cost'!K67/(1-Assumptions!$E67/100)+'Freight to Qingdao'!K71)/(1-Assumptions!$D67/100))</f>
        <v>64.482452636692386</v>
      </c>
      <c r="L68" s="33">
        <f>IF('Seaborne Supply'!L67=0,0,('FOB Cost'!L67/(1-Assumptions!$E67/100)+'Freight to Qingdao'!L71)/(1-Assumptions!$D67/100))</f>
        <v>77.927381659200094</v>
      </c>
      <c r="M68" s="33">
        <f>IF('Seaborne Supply'!M67=0,0,('FOB Cost'!M67/(1-Assumptions!$E67/100)+'Freight to Qingdao'!M71)/(1-Assumptions!$D67/100))</f>
        <v>70.652064554434077</v>
      </c>
      <c r="N68" s="33">
        <f>IF('Seaborne Supply'!N67=0,0,('FOB Cost'!N67/(1-Assumptions!$E67/100)+'Freight to Qingdao'!N71)/(1-Assumptions!$D67/100))</f>
        <v>84.907200302261572</v>
      </c>
      <c r="O68" s="33">
        <f>IF('Seaborne Supply'!O67=0,0,('FOB Cost'!O67/(1-Assumptions!$E67/100)+'Freight to Qingdao'!O71)/(1-Assumptions!$D67/100))</f>
        <v>86.970583472769476</v>
      </c>
      <c r="P68" s="33">
        <f>IF('Seaborne Supply'!P67=0,0,('FOB Cost'!P67/(1-Assumptions!$E67/100)+'Freight to Qingdao'!P71)/(1-Assumptions!$D67/100))</f>
        <v>85.544934420035631</v>
      </c>
      <c r="Q68" s="33">
        <f>IF('Seaborne Supply'!Q67=0,0,('FOB Cost'!Q67/(1-Assumptions!$E67/100)+'Freight to Qingdao'!Q71)/(1-Assumptions!$D67/100))</f>
        <v>85.646623846278416</v>
      </c>
      <c r="R68" s="33">
        <f>IF('Seaborne Supply'!R67=0,0,('FOB Cost'!R67/(1-Assumptions!$E67/100)+'Freight to Qingdao'!R71)/(1-Assumptions!$D67/100))</f>
        <v>87.375986398229614</v>
      </c>
      <c r="S68" s="33">
        <f>IF('Seaborne Supply'!S67=0,0,('FOB Cost'!S67/(1-Assumptions!$E67/100)+'Freight to Qingdao'!S71)/(1-Assumptions!$D67/100))</f>
        <v>97.133966643277375</v>
      </c>
      <c r="T68" s="33">
        <f>IF('Seaborne Supply'!T67=0,0,('FOB Cost'!T67/(1-Assumptions!$E67/100)+'Freight to Qingdao'!T71)/(1-Assumptions!$D67/100))</f>
        <v>93.944540400496578</v>
      </c>
      <c r="U68" s="33">
        <f>IF('Seaborne Supply'!U67=0,0,('FOB Cost'!U67/(1-Assumptions!$E67/100)+'Freight to Qingdao'!U71)/(1-Assumptions!$D67/100))</f>
        <v>93.427279106169379</v>
      </c>
      <c r="V68" s="33">
        <f>IF('Seaborne Supply'!V67=0,0,('FOB Cost'!V67/(1-Assumptions!$E67/100)+'Freight to Qingdao'!V71)/(1-Assumptions!$D67/100))</f>
        <v>93.769514762238913</v>
      </c>
      <c r="W68" s="33">
        <f>IF('Seaborne Supply'!W67=0,0,('FOB Cost'!W67/(1-Assumptions!$E67/100)+'Freight to Qingdao'!W71)/(1-Assumptions!$D67/100))</f>
        <v>85.467490689264324</v>
      </c>
      <c r="X68" s="33">
        <f>IF('Seaborne Supply'!X67=0,0,('FOB Cost'!X67/(1-Assumptions!$E67/100)+'Freight to Qingdao'!X71)/(1-Assumptions!$D67/100))</f>
        <v>75.08996059804609</v>
      </c>
      <c r="Y68" s="33">
        <f>IF('Seaborne Supply'!Y67=0,0,('FOB Cost'!Y67/(1-Assumptions!$E67/100)+'Freight to Qingdao'!Y71)/(1-Assumptions!$D67/100))</f>
        <v>64.628925352188702</v>
      </c>
      <c r="Z68" s="33">
        <f>IF('Seaborne Supply'!Z67=0,0,('FOB Cost'!Z67/(1-Assumptions!$E67/100)+'Freight to Qingdao'!Z71)/(1-Assumptions!$D67/100))</f>
        <v>57.48991202029471</v>
      </c>
      <c r="AA68" s="33">
        <f>IF('Seaborne Supply'!AA67=0,0,('FOB Cost'!AA67/(1-Assumptions!$E67/100)+'Freight to Qingdao'!AA71)/(1-Assumptions!$D67/100))</f>
        <v>58.663091703999577</v>
      </c>
      <c r="AB68" s="33">
        <f>IF('Seaborne Supply'!AB67=0,0,('FOB Cost'!AB67/(1-Assumptions!$E67/100)+'Freight to Qingdao'!AB71)/(1-Assumptions!$D67/100))</f>
        <v>59.836271387704436</v>
      </c>
    </row>
    <row r="69" spans="1:28" x14ac:dyDescent="0.2">
      <c r="A69" s="7" t="s">
        <v>301</v>
      </c>
      <c r="B69" s="7"/>
      <c r="C69" s="33">
        <f>IF('Seaborne Supply'!C68=0,0,('FOB Cost'!C68/(1-Assumptions!$E68/100)+'Freight to Qingdao'!C72)/(1-Assumptions!$D68/100))</f>
        <v>129.39521649484536</v>
      </c>
      <c r="D69" s="33">
        <f>IF('Seaborne Supply'!D68=0,0,('FOB Cost'!D68/(1-Assumptions!$E68/100)+'Freight to Qingdao'!D72)/(1-Assumptions!$D68/100))</f>
        <v>139.24020618556702</v>
      </c>
      <c r="E69" s="33">
        <f>IF('Seaborne Supply'!E68=0,0,('FOB Cost'!E68/(1-Assumptions!$E68/100)+'Freight to Qingdao'!E72)/(1-Assumptions!$D68/100))</f>
        <v>153.29397938144331</v>
      </c>
      <c r="F69" s="33">
        <f>IF('Seaborne Supply'!F68=0,0,('FOB Cost'!F68/(1-Assumptions!$E68/100)+'Freight to Qingdao'!F72)/(1-Assumptions!$D68/100))</f>
        <v>147.81348453608248</v>
      </c>
      <c r="G69" s="33">
        <f>IF('Seaborne Supply'!G68=0,0,('FOB Cost'!G68/(1-Assumptions!$E68/100)+'Freight to Qingdao'!G72)/(1-Assumptions!$D68/100))</f>
        <v>153.37905154639176</v>
      </c>
      <c r="H69" s="33">
        <f>IF('Seaborne Supply'!H68=0,0,('FOB Cost'!H68/(1-Assumptions!$E68/100)+'Freight to Qingdao'!H72)/(1-Assumptions!$D68/100))</f>
        <v>0</v>
      </c>
      <c r="I69" s="33">
        <f>IF('Seaborne Supply'!I68=0,0,('FOB Cost'!I68/(1-Assumptions!$E68/100)+'Freight to Qingdao'!I72)/(1-Assumptions!$D68/100))</f>
        <v>0</v>
      </c>
      <c r="J69" s="33">
        <f>IF('Seaborne Supply'!J68=0,0,('FOB Cost'!J68/(1-Assumptions!$E68/100)+'Freight to Qingdao'!J72)/(1-Assumptions!$D68/100))</f>
        <v>0</v>
      </c>
      <c r="K69" s="33">
        <f>IF('Seaborne Supply'!K68=0,0,('FOB Cost'!K68/(1-Assumptions!$E68/100)+'Freight to Qingdao'!K72)/(1-Assumptions!$D68/100))</f>
        <v>0</v>
      </c>
      <c r="L69" s="33">
        <f>IF('Seaborne Supply'!L68=0,0,('FOB Cost'!L68/(1-Assumptions!$E68/100)+'Freight to Qingdao'!L72)/(1-Assumptions!$D68/100))</f>
        <v>0</v>
      </c>
      <c r="M69" s="33">
        <f>IF('Seaborne Supply'!M68=0,0,('FOB Cost'!M68/(1-Assumptions!$E68/100)+'Freight to Qingdao'!M72)/(1-Assumptions!$D68/100))</f>
        <v>86.702515463917535</v>
      </c>
      <c r="N69" s="33">
        <f>IF('Seaborne Supply'!N68=0,0,('FOB Cost'!N68/(1-Assumptions!$E68/100)+'Freight to Qingdao'!N72)/(1-Assumptions!$D68/100))</f>
        <v>121.25232989690721</v>
      </c>
      <c r="O69" s="33">
        <f>IF('Seaborne Supply'!O68=0,0,('FOB Cost'!O68/(1-Assumptions!$E68/100)+'Freight to Qingdao'!O72)/(1-Assumptions!$D68/100))</f>
        <v>120.79092783505155</v>
      </c>
      <c r="P69" s="33">
        <f>IF('Seaborne Supply'!P68=0,0,('FOB Cost'!P68/(1-Assumptions!$E68/100)+'Freight to Qingdao'!P72)/(1-Assumptions!$D68/100))</f>
        <v>104.28742268041239</v>
      </c>
      <c r="Q69" s="33">
        <f>IF('Seaborne Supply'!Q68=0,0,('FOB Cost'!Q68/(1-Assumptions!$E68/100)+'Freight to Qingdao'!Q72)/(1-Assumptions!$D68/100))</f>
        <v>117.5979381443299</v>
      </c>
      <c r="R69" s="33">
        <f>IF('Seaborne Supply'!R68=0,0,('FOB Cost'!R68/(1-Assumptions!$E68/100)+'Freight to Qingdao'!R72)/(1-Assumptions!$D68/100))</f>
        <v>111.69208247422679</v>
      </c>
      <c r="S69" s="33">
        <f>IF('Seaborne Supply'!S68=0,0,('FOB Cost'!S68/(1-Assumptions!$E68/100)+'Freight to Qingdao'!S72)/(1-Assumptions!$D68/100))</f>
        <v>116.79051546391753</v>
      </c>
      <c r="T69" s="33">
        <f>IF('Seaborne Supply'!T68=0,0,('FOB Cost'!T68/(1-Assumptions!$E68/100)+'Freight to Qingdao'!T72)/(1-Assumptions!$D68/100))</f>
        <v>101.72309278350517</v>
      </c>
      <c r="U69" s="33">
        <f>IF('Seaborne Supply'!U68=0,0,('FOB Cost'!U68/(1-Assumptions!$E68/100)+'Freight to Qingdao'!U72)/(1-Assumptions!$D68/100))</f>
        <v>90.623670103092792</v>
      </c>
      <c r="V69" s="33">
        <f>IF('Seaborne Supply'!V68=0,0,('FOB Cost'!V68/(1-Assumptions!$E68/100)+'Freight to Qingdao'!V72)/(1-Assumptions!$D68/100))</f>
        <v>82.702103092783503</v>
      </c>
      <c r="W69" s="33">
        <f>IF('Seaborne Supply'!W68=0,0,('FOB Cost'!W68/(1-Assumptions!$E68/100)+'Freight to Qingdao'!W72)/(1-Assumptions!$D68/100))</f>
        <v>79.074391752577327</v>
      </c>
      <c r="X69" s="33">
        <f>IF('Seaborne Supply'!X68=0,0,('FOB Cost'!X68/(1-Assumptions!$E68/100)+'Freight to Qingdao'!X72)/(1-Assumptions!$D68/100))</f>
        <v>80.72531958762886</v>
      </c>
      <c r="Y69" s="33">
        <f>IF('Seaborne Supply'!Y68=0,0,('FOB Cost'!Y68/(1-Assumptions!$E68/100)+'Freight to Qingdao'!Y72)/(1-Assumptions!$D68/100))</f>
        <v>82.252247422680412</v>
      </c>
      <c r="Z69" s="33">
        <f>IF('Seaborne Supply'!Z68=0,0,('FOB Cost'!Z68/(1-Assumptions!$E68/100)+'Freight to Qingdao'!Z72)/(1-Assumptions!$D68/100))</f>
        <v>84.006268041237121</v>
      </c>
      <c r="AA69" s="33">
        <f>IF('Seaborne Supply'!AA68=0,0,('FOB Cost'!AA68/(1-Assumptions!$E68/100)+'Freight to Qingdao'!AA72)/(1-Assumptions!$D68/100))</f>
        <v>85.657195876288654</v>
      </c>
      <c r="AB69" s="33">
        <f>IF('Seaborne Supply'!AB68=0,0,('FOB Cost'!AB68/(1-Assumptions!$E68/100)+'Freight to Qingdao'!AB72)/(1-Assumptions!$D68/100))</f>
        <v>87.411216494845362</v>
      </c>
    </row>
    <row r="70" spans="1:28" x14ac:dyDescent="0.2">
      <c r="A70" s="7" t="s">
        <v>303</v>
      </c>
      <c r="B70" s="7"/>
      <c r="C70" s="33">
        <f>IF('Seaborne Supply'!C69=0,0,('FOB Cost'!C69/(1-Assumptions!$E69/100)+'Freight to Qingdao'!C73)/(1-Assumptions!$D69/100))</f>
        <v>0</v>
      </c>
      <c r="D70" s="33">
        <f>IF('Seaborne Supply'!D69=0,0,('FOB Cost'!D69/(1-Assumptions!$E69/100)+'Freight to Qingdao'!D73)/(1-Assumptions!$D69/100))</f>
        <v>0</v>
      </c>
      <c r="E70" s="33">
        <f>IF('Seaborne Supply'!E69=0,0,('FOB Cost'!E69/(1-Assumptions!$E69/100)+'Freight to Qingdao'!E73)/(1-Assumptions!$D69/100))</f>
        <v>0</v>
      </c>
      <c r="F70" s="33">
        <f>IF('Seaborne Supply'!F69=0,0,('FOB Cost'!F69/(1-Assumptions!$E69/100)+'Freight to Qingdao'!F73)/(1-Assumptions!$D69/100))</f>
        <v>0</v>
      </c>
      <c r="G70" s="33">
        <f>IF('Seaborne Supply'!G69=0,0,('FOB Cost'!G69/(1-Assumptions!$E69/100)+'Freight to Qingdao'!G73)/(1-Assumptions!$D69/100))</f>
        <v>141.91107715813598</v>
      </c>
      <c r="H70" s="33">
        <f>IF('Seaborne Supply'!H69=0,0,('FOB Cost'!H69/(1-Assumptions!$E69/100)+'Freight to Qingdao'!H73)/(1-Assumptions!$D69/100))</f>
        <v>89.06497871876023</v>
      </c>
      <c r="I70" s="33">
        <f>IF('Seaborne Supply'!I69=0,0,('FOB Cost'!I69/(1-Assumptions!$E69/100)+'Freight to Qingdao'!I73)/(1-Assumptions!$D69/100))</f>
        <v>85.188606351631549</v>
      </c>
      <c r="J70" s="33">
        <f>IF('Seaborne Supply'!J69=0,0,('FOB Cost'!J69/(1-Assumptions!$E69/100)+'Freight to Qingdao'!J73)/(1-Assumptions!$D69/100))</f>
        <v>92.187100294663324</v>
      </c>
      <c r="K70" s="33">
        <f>IF('Seaborne Supply'!K69=0,0,('FOB Cost'!K69/(1-Assumptions!$E69/100)+'Freight to Qingdao'!K73)/(1-Assumptions!$D69/100))</f>
        <v>98.613641820364506</v>
      </c>
      <c r="L70" s="33">
        <f>IF('Seaborne Supply'!L69=0,0,('FOB Cost'!L69/(1-Assumptions!$E69/100)+'Freight to Qingdao'!L73)/(1-Assumptions!$D69/100))</f>
        <v>110.88368438284404</v>
      </c>
      <c r="M70" s="33">
        <f>IF('Seaborne Supply'!M69=0,0,('FOB Cost'!M69/(1-Assumptions!$E69/100)+'Freight to Qingdao'!M73)/(1-Assumptions!$D69/100))</f>
        <v>128.76237040270655</v>
      </c>
      <c r="N70" s="33">
        <f>IF('Seaborne Supply'!N69=0,0,('FOB Cost'!N69/(1-Assumptions!$E69/100)+'Freight to Qingdao'!N73)/(1-Assumptions!$D69/100))</f>
        <v>137.99611480956017</v>
      </c>
      <c r="O70" s="33">
        <f>IF('Seaborne Supply'!O69=0,0,('FOB Cost'!O69/(1-Assumptions!$E69/100)+'Freight to Qingdao'!O73)/(1-Assumptions!$D69/100))</f>
        <v>127.86729237149406</v>
      </c>
      <c r="P70" s="33">
        <f>IF('Seaborne Supply'!P69=0,0,('FOB Cost'!P69/(1-Assumptions!$E69/100)+'Freight to Qingdao'!P73)/(1-Assumptions!$D69/100))</f>
        <v>128.2540652624686</v>
      </c>
      <c r="Q70" s="33">
        <f>IF('Seaborne Supply'!Q69=0,0,('FOB Cost'!Q69/(1-Assumptions!$E69/100)+'Freight to Qingdao'!Q73)/(1-Assumptions!$D69/100))</f>
        <v>122.64542180508566</v>
      </c>
      <c r="R70" s="33">
        <f>IF('Seaborne Supply'!R69=0,0,('FOB Cost'!R69/(1-Assumptions!$E69/100)+'Freight to Qingdao'!R73)/(1-Assumptions!$D69/100))</f>
        <v>116.3515006002401</v>
      </c>
      <c r="S70" s="33">
        <f>IF('Seaborne Supply'!S69=0,0,('FOB Cost'!S69/(1-Assumptions!$E69/100)+'Freight to Qingdao'!S73)/(1-Assumptions!$D69/100))</f>
        <v>126.23725853977955</v>
      </c>
      <c r="T70" s="33">
        <f>IF('Seaborne Supply'!T69=0,0,('FOB Cost'!T69/(1-Assumptions!$E69/100)+'Freight to Qingdao'!T73)/(1-Assumptions!$D69/100))</f>
        <v>116.76044963439921</v>
      </c>
      <c r="U70" s="33">
        <f>IF('Seaborne Supply'!U69=0,0,('FOB Cost'!U69/(1-Assumptions!$E69/100)+'Freight to Qingdao'!U73)/(1-Assumptions!$D69/100))</f>
        <v>112.61883662555931</v>
      </c>
      <c r="V70" s="33">
        <f>IF('Seaborne Supply'!V69=0,0,('FOB Cost'!V69/(1-Assumptions!$E69/100)+'Freight to Qingdao'!V73)/(1-Assumptions!$D69/100))</f>
        <v>112.39917057732183</v>
      </c>
      <c r="W70" s="33">
        <f>IF('Seaborne Supply'!W69=0,0,('FOB Cost'!W69/(1-Assumptions!$E69/100)+'Freight to Qingdao'!W73)/(1-Assumptions!$D69/100))</f>
        <v>114.56667030448543</v>
      </c>
      <c r="X70" s="33">
        <f>IF('Seaborne Supply'!X69=0,0,('FOB Cost'!X69/(1-Assumptions!$E69/100)+'Freight to Qingdao'!X73)/(1-Assumptions!$D69/100))</f>
        <v>116.97592491542069</v>
      </c>
      <c r="Y70" s="33">
        <f>IF('Seaborne Supply'!Y69=0,0,('FOB Cost'!Y69/(1-Assumptions!$E69/100)+'Freight to Qingdao'!Y73)/(1-Assumptions!$D69/100))</f>
        <v>119.25255920550039</v>
      </c>
      <c r="Z70" s="33">
        <f>IF('Seaborne Supply'!Z69=0,0,('FOB Cost'!Z69/(1-Assumptions!$E69/100)+'Freight to Qingdao'!Z73)/(1-Assumptions!$D69/100))</f>
        <v>121.66181381643567</v>
      </c>
      <c r="AA70" s="33">
        <f>IF('Seaborne Supply'!AA69=0,0,('FOB Cost'!AA69/(1-Assumptions!$E69/100)+'Freight to Qingdao'!AA73)/(1-Assumptions!$D69/100))</f>
        <v>124.18020299028703</v>
      </c>
      <c r="AB70" s="33">
        <f>IF('Seaborne Supply'!AB69=0,0,('FOB Cost'!AB69/(1-Assumptions!$E69/100)+'Freight to Qingdao'!AB73)/(1-Assumptions!$D69/100))</f>
        <v>126.69859216413839</v>
      </c>
    </row>
    <row r="71" spans="1:28" x14ac:dyDescent="0.2">
      <c r="A71" s="7" t="s">
        <v>305</v>
      </c>
      <c r="B71" s="7"/>
      <c r="C71" s="33">
        <f>IF('Seaborne Supply'!C70=0,0,('FOB Cost'!C70/(1-Assumptions!$E70/100)+'Freight to Qingdao'!C74)/(1-Assumptions!$D70/100))</f>
        <v>0</v>
      </c>
      <c r="D71" s="33">
        <f>IF('Seaborne Supply'!D70=0,0,('FOB Cost'!D70/(1-Assumptions!$E70/100)+'Freight to Qingdao'!D74)/(1-Assumptions!$D70/100))</f>
        <v>0</v>
      </c>
      <c r="E71" s="33">
        <f>IF('Seaborne Supply'!E70=0,0,('FOB Cost'!E70/(1-Assumptions!$E70/100)+'Freight to Qingdao'!E74)/(1-Assumptions!$D70/100))</f>
        <v>0</v>
      </c>
      <c r="F71" s="33">
        <f>IF('Seaborne Supply'!F70=0,0,('FOB Cost'!F70/(1-Assumptions!$E70/100)+'Freight to Qingdao'!F74)/(1-Assumptions!$D70/100))</f>
        <v>0</v>
      </c>
      <c r="G71" s="33">
        <f>IF('Seaborne Supply'!G70=0,0,('FOB Cost'!G70/(1-Assumptions!$E70/100)+'Freight to Qingdao'!G74)/(1-Assumptions!$D70/100))</f>
        <v>0</v>
      </c>
      <c r="H71" s="33">
        <f>IF('Seaborne Supply'!H70=0,0,('FOB Cost'!H70/(1-Assumptions!$E70/100)+'Freight to Qingdao'!H74)/(1-Assumptions!$D70/100))</f>
        <v>0</v>
      </c>
      <c r="I71" s="33">
        <f>IF('Seaborne Supply'!I70=0,0,('FOB Cost'!I70/(1-Assumptions!$E70/100)+'Freight to Qingdao'!I74)/(1-Assumptions!$D70/100))</f>
        <v>0</v>
      </c>
      <c r="J71" s="33">
        <f>IF('Seaborne Supply'!J70=0,0,('FOB Cost'!J70/(1-Assumptions!$E70/100)+'Freight to Qingdao'!J74)/(1-Assumptions!$D70/100))</f>
        <v>0</v>
      </c>
      <c r="K71" s="33">
        <f>IF('Seaborne Supply'!K70=0,0,('FOB Cost'!K70/(1-Assumptions!$E70/100)+'Freight to Qingdao'!K74)/(1-Assumptions!$D70/100))</f>
        <v>0</v>
      </c>
      <c r="L71" s="33">
        <f>IF('Seaborne Supply'!L70=0,0,('FOB Cost'!L70/(1-Assumptions!$E70/100)+'Freight to Qingdao'!L74)/(1-Assumptions!$D70/100))</f>
        <v>84.964709125999462</v>
      </c>
      <c r="M71" s="33">
        <f>IF('Seaborne Supply'!M70=0,0,('FOB Cost'!M70/(1-Assumptions!$E70/100)+'Freight to Qingdao'!M74)/(1-Assumptions!$D70/100))</f>
        <v>77.3658671078026</v>
      </c>
      <c r="N71" s="33">
        <f>IF('Seaborne Supply'!N70=0,0,('FOB Cost'!N70/(1-Assumptions!$E70/100)+'Freight to Qingdao'!N74)/(1-Assumptions!$D70/100))</f>
        <v>93.007030603804807</v>
      </c>
      <c r="O71" s="33">
        <f>IF('Seaborne Supply'!O70=0,0,('FOB Cost'!O70/(1-Assumptions!$E70/100)+'Freight to Qingdao'!O74)/(1-Assumptions!$D70/100))</f>
        <v>94.370002757099527</v>
      </c>
      <c r="P71" s="33">
        <f>IF('Seaborne Supply'!P70=0,0,('FOB Cost'!P70/(1-Assumptions!$E70/100)+'Freight to Qingdao'!P74)/(1-Assumptions!$D70/100))</f>
        <v>95.394265232974917</v>
      </c>
      <c r="Q71" s="33">
        <f>IF('Seaborne Supply'!Q70=0,0,('FOB Cost'!Q70/(1-Assumptions!$E70/100)+'Freight to Qingdao'!Q74)/(1-Assumptions!$D70/100))</f>
        <v>113.14447201543977</v>
      </c>
      <c r="R71" s="33">
        <f>IF('Seaborne Supply'!R70=0,0,('FOB Cost'!R70/(1-Assumptions!$E70/100)+'Freight to Qingdao'!R74)/(1-Assumptions!$D70/100))</f>
        <v>96.961814171491611</v>
      </c>
      <c r="S71" s="33">
        <f>IF('Seaborne Supply'!S70=0,0,('FOB Cost'!S70/(1-Assumptions!$E70/100)+'Freight to Qingdao'!S74)/(1-Assumptions!$D70/100))</f>
        <v>109.99310725117179</v>
      </c>
      <c r="T71" s="33">
        <f>IF('Seaborne Supply'!T70=0,0,('FOB Cost'!T70/(1-Assumptions!$E70/100)+'Freight to Qingdao'!T74)/(1-Assumptions!$D70/100))</f>
        <v>101.57775020678248</v>
      </c>
      <c r="U71" s="33">
        <f>IF('Seaborne Supply'!U70=0,0,('FOB Cost'!U70/(1-Assumptions!$E70/100)+'Freight to Qingdao'!U74)/(1-Assumptions!$D70/100))</f>
        <v>96.775296388199635</v>
      </c>
      <c r="V71" s="33">
        <f>IF('Seaborne Supply'!V70=0,0,('FOB Cost'!V70/(1-Assumptions!$E70/100)+'Freight to Qingdao'!V74)/(1-Assumptions!$D70/100))</f>
        <v>94.091811414392069</v>
      </c>
      <c r="W71" s="33">
        <f>IF('Seaborne Supply'!W70=0,0,('FOB Cost'!W70/(1-Assumptions!$E70/100)+'Freight to Qingdao'!W74)/(1-Assumptions!$D70/100))</f>
        <v>95.977116073890272</v>
      </c>
      <c r="X71" s="33">
        <f>IF('Seaborne Supply'!X70=0,0,('FOB Cost'!X70/(1-Assumptions!$E70/100)+'Freight to Qingdao'!X74)/(1-Assumptions!$D70/100))</f>
        <v>97.865039977943226</v>
      </c>
      <c r="Y71" s="33">
        <f>IF('Seaborne Supply'!Y70=0,0,('FOB Cost'!Y70/(1-Assumptions!$E70/100)+'Freight to Qingdao'!Y74)/(1-Assumptions!$D70/100))</f>
        <v>99.86062861869317</v>
      </c>
      <c r="Z71" s="33">
        <f>IF('Seaborne Supply'!Z70=0,0,('FOB Cost'!Z70/(1-Assumptions!$E70/100)+'Freight to Qingdao'!Z74)/(1-Assumptions!$D70/100))</f>
        <v>101.85883650399781</v>
      </c>
      <c r="AA71" s="33">
        <f>IF('Seaborne Supply'!AA70=0,0,('FOB Cost'!AA70/(1-Assumptions!$E70/100)+'Freight to Qingdao'!AA74)/(1-Assumptions!$D70/100))</f>
        <v>103.9673283705542</v>
      </c>
      <c r="AB71" s="33">
        <f>IF('Seaborne Supply'!AB70=0,0,('FOB Cost'!AB70/(1-Assumptions!$E70/100)+'Freight to Qingdao'!AB74)/(1-Assumptions!$D70/100))</f>
        <v>105.96553625585885</v>
      </c>
    </row>
    <row r="72" spans="1:28" x14ac:dyDescent="0.2">
      <c r="A72" s="7" t="s">
        <v>309</v>
      </c>
      <c r="B72" s="7"/>
      <c r="C72" s="33">
        <f>IF('Seaborne Supply'!C71=0,0,('FOB Cost'!C71/(1-Assumptions!$E71/100)+'Freight to Qingdao'!C75)/(1-Assumptions!$D71/100))</f>
        <v>77.367037818953406</v>
      </c>
      <c r="D72" s="33">
        <f>IF('Seaborne Supply'!D71=0,0,('FOB Cost'!D71/(1-Assumptions!$E71/100)+'Freight to Qingdao'!D75)/(1-Assumptions!$D71/100))</f>
        <v>75.394853878880753</v>
      </c>
      <c r="E72" s="33">
        <f>IF('Seaborne Supply'!E71=0,0,('FOB Cost'!E71/(1-Assumptions!$E71/100)+'Freight to Qingdao'!E75)/(1-Assumptions!$D71/100))</f>
        <v>71.208753335548096</v>
      </c>
      <c r="F72" s="33">
        <f>IF('Seaborne Supply'!F71=0,0,('FOB Cost'!F71/(1-Assumptions!$E71/100)+'Freight to Qingdao'!F75)/(1-Assumptions!$D71/100))</f>
        <v>71.694310546226149</v>
      </c>
      <c r="G72" s="33">
        <f>IF('Seaborne Supply'!G71=0,0,('FOB Cost'!G71/(1-Assumptions!$E71/100)+'Freight to Qingdao'!G75)/(1-Assumptions!$D71/100))</f>
        <v>67.923174691629242</v>
      </c>
      <c r="H72" s="33">
        <f>IF('Seaborne Supply'!H71=0,0,('FOB Cost'!H71/(1-Assumptions!$E71/100)+'Freight to Qingdao'!H75)/(1-Assumptions!$D71/100))</f>
        <v>52.109249515072925</v>
      </c>
      <c r="I72" s="33">
        <f>IF('Seaborne Supply'!I71=0,0,('FOB Cost'!I71/(1-Assumptions!$E71/100)+'Freight to Qingdao'!I75)/(1-Assumptions!$D71/100))</f>
        <v>48.70175859740872</v>
      </c>
      <c r="J72" s="33">
        <f>IF('Seaborne Supply'!J71=0,0,('FOB Cost'!J71/(1-Assumptions!$E71/100)+'Freight to Qingdao'!J75)/(1-Assumptions!$D71/100))</f>
        <v>56.558447376035488</v>
      </c>
      <c r="K72" s="33">
        <f>IF('Seaborne Supply'!K71=0,0,('FOB Cost'!K71/(1-Assumptions!$E71/100)+'Freight to Qingdao'!K75)/(1-Assumptions!$D71/100))</f>
        <v>63.33279178678211</v>
      </c>
      <c r="L72" s="33">
        <f>IF('Seaborne Supply'!L71=0,0,('FOB Cost'!L71/(1-Assumptions!$E71/100)+'Freight to Qingdao'!L75)/(1-Assumptions!$D71/100))</f>
        <v>65.698575761147964</v>
      </c>
      <c r="M72" s="33">
        <f>IF('Seaborne Supply'!M71=0,0,('FOB Cost'!M71/(1-Assumptions!$E71/100)+'Freight to Qingdao'!M75)/(1-Assumptions!$D71/100))</f>
        <v>62.007668813562958</v>
      </c>
      <c r="N72" s="33">
        <f>IF('Seaborne Supply'!N71=0,0,('FOB Cost'!N71/(1-Assumptions!$E71/100)+'Freight to Qingdao'!N75)/(1-Assumptions!$D71/100))</f>
        <v>85.424821836185743</v>
      </c>
      <c r="O72" s="33">
        <f>IF('Seaborne Supply'!O71=0,0,('FOB Cost'!O71/(1-Assumptions!$E71/100)+'Freight to Qingdao'!O75)/(1-Assumptions!$D71/100))</f>
        <v>77.384801688939362</v>
      </c>
      <c r="P72" s="33">
        <f>IF('Seaborne Supply'!P71=0,0,('FOB Cost'!P71/(1-Assumptions!$E71/100)+'Freight to Qingdao'!P75)/(1-Assumptions!$D71/100))</f>
        <v>70.940083375306756</v>
      </c>
      <c r="Q72" s="33">
        <f>IF('Seaborne Supply'!Q71=0,0,('FOB Cost'!Q71/(1-Assumptions!$E71/100)+'Freight to Qingdao'!Q75)/(1-Assumptions!$D71/100))</f>
        <v>82.462250704617787</v>
      </c>
      <c r="R72" s="33">
        <f>IF('Seaborne Supply'!R71=0,0,('FOB Cost'!R71/(1-Assumptions!$E71/100)+'Freight to Qingdao'!R75)/(1-Assumptions!$D71/100))</f>
        <v>83.836601545336649</v>
      </c>
      <c r="S72" s="33">
        <f>IF('Seaborne Supply'!S71=0,0,('FOB Cost'!S71/(1-Assumptions!$E71/100)+'Freight to Qingdao'!S75)/(1-Assumptions!$D71/100))</f>
        <v>122.89340177681565</v>
      </c>
      <c r="T72" s="33">
        <f>IF('Seaborne Supply'!T71=0,0,('FOB Cost'!T71/(1-Assumptions!$E71/100)+'Freight to Qingdao'!T75)/(1-Assumptions!$D71/100))</f>
        <v>107.66662737239183</v>
      </c>
      <c r="U72" s="33">
        <f>IF('Seaborne Supply'!U71=0,0,('FOB Cost'!U71/(1-Assumptions!$E71/100)+'Freight to Qingdao'!U75)/(1-Assumptions!$D71/100))</f>
        <v>96.535042277067504</v>
      </c>
      <c r="V72" s="33">
        <f>IF('Seaborne Supply'!V71=0,0,('FOB Cost'!V71/(1-Assumptions!$E71/100)+'Freight to Qingdao'!V75)/(1-Assumptions!$D71/100))</f>
        <v>88.547850781777456</v>
      </c>
      <c r="W72" s="33">
        <f>IF('Seaborne Supply'!W71=0,0,('FOB Cost'!W71/(1-Assumptions!$E71/100)+'Freight to Qingdao'!W75)/(1-Assumptions!$D71/100))</f>
        <v>85.77778444589714</v>
      </c>
      <c r="X72" s="33">
        <f>IF('Seaborne Supply'!X71=0,0,('FOB Cost'!X71/(1-Assumptions!$E71/100)+'Freight to Qingdao'!X75)/(1-Assumptions!$D71/100))</f>
        <v>87.512762423242208</v>
      </c>
      <c r="Y72" s="33">
        <f>IF('Seaborne Supply'!Y71=0,0,('FOB Cost'!Y71/(1-Assumptions!$E71/100)+'Freight to Qingdao'!Y75)/(1-Assumptions!$D71/100))</f>
        <v>89.24367665812909</v>
      </c>
      <c r="Z72" s="33">
        <f>IF('Seaborne Supply'!Z71=0,0,('FOB Cost'!Z71/(1-Assumptions!$E71/100)+'Freight to Qingdao'!Z75)/(1-Assumptions!$D71/100))</f>
        <v>91.085820839540048</v>
      </c>
      <c r="AA72" s="33">
        <f>IF('Seaborne Supply'!AA71=0,0,('FOB Cost'!AA71/(1-Assumptions!$E71/100)+'Freight to Qingdao'!AA75)/(1-Assumptions!$D71/100))</f>
        <v>92.927965020950992</v>
      </c>
      <c r="AB72" s="33">
        <f>IF('Seaborne Supply'!AB71=0,0,('FOB Cost'!AB71/(1-Assumptions!$E71/100)+'Freight to Qingdao'!AB75)/(1-Assumptions!$D71/100))</f>
        <v>94.770109202361937</v>
      </c>
    </row>
    <row r="73" spans="1:28" x14ac:dyDescent="0.2">
      <c r="A73" s="7" t="s">
        <v>313</v>
      </c>
      <c r="B73" s="7"/>
      <c r="C73" s="33">
        <f>IF('Seaborne Supply'!C72=0,0,('FOB Cost'!C72/(1-Assumptions!$E72/100)+'Freight to Qingdao'!C76)/(1-Assumptions!$D72/100))</f>
        <v>147.40724273541622</v>
      </c>
      <c r="D73" s="33">
        <f>IF('Seaborne Supply'!D72=0,0,('FOB Cost'!D72/(1-Assumptions!$E72/100)+'Freight to Qingdao'!D76)/(1-Assumptions!$D72/100))</f>
        <v>134.96845641249726</v>
      </c>
      <c r="E73" s="33">
        <f>IF('Seaborne Supply'!E72=0,0,('FOB Cost'!E72/(1-Assumptions!$E72/100)+'Freight to Qingdao'!E76)/(1-Assumptions!$D72/100))</f>
        <v>110.06954883111207</v>
      </c>
      <c r="F73" s="33">
        <f>IF('Seaborne Supply'!F72=0,0,('FOB Cost'!F72/(1-Assumptions!$E72/100)+'Freight to Qingdao'!F76)/(1-Assumptions!$D72/100))</f>
        <v>117.87622350884858</v>
      </c>
      <c r="G73" s="33">
        <f>IF('Seaborne Supply'!G72=0,0,('FOB Cost'!G72/(1-Assumptions!$E72/100)+'Freight to Qingdao'!G76)/(1-Assumptions!$D72/100))</f>
        <v>98.811088048940348</v>
      </c>
      <c r="H73" s="33">
        <f>IF('Seaborne Supply'!H72=0,0,('FOB Cost'!H72/(1-Assumptions!$E72/100)+'Freight to Qingdao'!H76)/(1-Assumptions!$D72/100))</f>
        <v>73.596067292986675</v>
      </c>
      <c r="I73" s="33">
        <f>IF('Seaborne Supply'!I72=0,0,('FOB Cost'!I72/(1-Assumptions!$E72/100)+'Freight to Qingdao'!I76)/(1-Assumptions!$D72/100))</f>
        <v>0</v>
      </c>
      <c r="J73" s="33">
        <f>IF('Seaborne Supply'!J72=0,0,('FOB Cost'!J72/(1-Assumptions!$E72/100)+'Freight to Qingdao'!J76)/(1-Assumptions!$D72/100))</f>
        <v>0</v>
      </c>
      <c r="K73" s="33">
        <f>IF('Seaborne Supply'!K72=0,0,('FOB Cost'!K72/(1-Assumptions!$E72/100)+'Freight to Qingdao'!K76)/(1-Assumptions!$D72/100))</f>
        <v>0</v>
      </c>
      <c r="L73" s="33">
        <f>IF('Seaborne Supply'!L72=0,0,('FOB Cost'!L72/(1-Assumptions!$E72/100)+'Freight to Qingdao'!L76)/(1-Assumptions!$D72/100))</f>
        <v>0</v>
      </c>
      <c r="M73" s="33">
        <f>IF('Seaborne Supply'!M72=0,0,('FOB Cost'!M72/(1-Assumptions!$E72/100)+'Freight to Qingdao'!M76)/(1-Assumptions!$D72/100))</f>
        <v>0</v>
      </c>
      <c r="N73" s="33">
        <f>IF('Seaborne Supply'!N72=0,0,('FOB Cost'!N72/(1-Assumptions!$E72/100)+'Freight to Qingdao'!N76)/(1-Assumptions!$D72/100))</f>
        <v>0</v>
      </c>
      <c r="O73" s="33">
        <f>IF('Seaborne Supply'!O72=0,0,('FOB Cost'!O72/(1-Assumptions!$E72/100)+'Freight to Qingdao'!O76)/(1-Assumptions!$D72/100))</f>
        <v>0</v>
      </c>
      <c r="P73" s="33">
        <f>IF('Seaborne Supply'!P72=0,0,('FOB Cost'!P72/(1-Assumptions!$E72/100)+'Freight to Qingdao'!P76)/(1-Assumptions!$D72/100))</f>
        <v>0</v>
      </c>
      <c r="Q73" s="33">
        <f>IF('Seaborne Supply'!Q72=0,0,('FOB Cost'!Q72/(1-Assumptions!$E72/100)+'Freight to Qingdao'!Q76)/(1-Assumptions!$D72/100))</f>
        <v>0</v>
      </c>
      <c r="R73" s="33">
        <f>IF('Seaborne Supply'!R72=0,0,('FOB Cost'!R72/(1-Assumptions!$E72/100)+'Freight to Qingdao'!R76)/(1-Assumptions!$D72/100))</f>
        <v>0</v>
      </c>
      <c r="S73" s="33">
        <f>IF('Seaborne Supply'!S72=0,0,('FOB Cost'!S72/(1-Assumptions!$E72/100)+'Freight to Qingdao'!S76)/(1-Assumptions!$D72/100))</f>
        <v>0</v>
      </c>
      <c r="T73" s="33">
        <f>IF('Seaborne Supply'!T72=0,0,('FOB Cost'!T72/(1-Assumptions!$E72/100)+'Freight to Qingdao'!T76)/(1-Assumptions!$D72/100))</f>
        <v>109.42044461437622</v>
      </c>
      <c r="U73" s="33">
        <f>IF('Seaborne Supply'!U72=0,0,('FOB Cost'!U72/(1-Assumptions!$E72/100)+'Freight to Qingdao'!U76)/(1-Assumptions!$D72/100))</f>
        <v>94.628839851431067</v>
      </c>
      <c r="V73" s="33">
        <f>IF('Seaborne Supply'!V72=0,0,('FOB Cost'!V72/(1-Assumptions!$E72/100)+'Freight to Qingdao'!V76)/(1-Assumptions!$D72/100))</f>
        <v>86.385197727769281</v>
      </c>
      <c r="W73" s="33">
        <f>IF('Seaborne Supply'!W72=0,0,('FOB Cost'!W72/(1-Assumptions!$E72/100)+'Freight to Qingdao'!W76)/(1-Assumptions!$D72/100))</f>
        <v>84.136759886388475</v>
      </c>
      <c r="X73" s="33">
        <f>IF('Seaborne Supply'!X72=0,0,('FOB Cost'!X72/(1-Assumptions!$E72/100)+'Freight to Qingdao'!X76)/(1-Assumptions!$D72/100))</f>
        <v>85.9416812322482</v>
      </c>
      <c r="Y73" s="33">
        <f>IF('Seaborne Supply'!Y72=0,0,('FOB Cost'!Y72/(1-Assumptions!$E72/100)+'Freight to Qingdao'!Y76)/(1-Assumptions!$D72/100))</f>
        <v>87.516708542713573</v>
      </c>
      <c r="Z73" s="33">
        <f>IF('Seaborne Supply'!Z72=0,0,('FOB Cost'!Z72/(1-Assumptions!$E72/100)+'Freight to Qingdao'!Z76)/(1-Assumptions!$D72/100))</f>
        <v>89.321629888573312</v>
      </c>
      <c r="AA73" s="33">
        <f>IF('Seaborne Supply'!AA72=0,0,('FOB Cost'!AA72/(1-Assumptions!$E72/100)+'Freight to Qingdao'!AA76)/(1-Assumptions!$D72/100))</f>
        <v>91.126551234433038</v>
      </c>
      <c r="AB73" s="33">
        <f>IF('Seaborne Supply'!AB72=0,0,('FOB Cost'!AB72/(1-Assumptions!$E72/100)+'Freight to Qingdao'!AB76)/(1-Assumptions!$D72/100))</f>
        <v>93.040714441774085</v>
      </c>
    </row>
    <row r="74" spans="1:28" x14ac:dyDescent="0.2">
      <c r="A74" s="7" t="s">
        <v>328</v>
      </c>
      <c r="B74" s="7"/>
      <c r="C74" s="33">
        <f>IF('Seaborne Supply'!C73=0,0,('FOB Cost'!C73/(1-Assumptions!$E73/100)+'Freight to Qingdao'!C77)/(1-Assumptions!$D73/100))</f>
        <v>58.420406732117804</v>
      </c>
      <c r="D74" s="33">
        <f>IF('Seaborne Supply'!D73=0,0,('FOB Cost'!D73/(1-Assumptions!$E73/100)+'Freight to Qingdao'!D77)/(1-Assumptions!$D73/100))</f>
        <v>61.390252454417954</v>
      </c>
      <c r="E74" s="33">
        <f>IF('Seaborne Supply'!E73=0,0,('FOB Cost'!E73/(1-Assumptions!$E73/100)+'Freight to Qingdao'!E77)/(1-Assumptions!$D73/100))</f>
        <v>64.360098176718083</v>
      </c>
      <c r="F74" s="33">
        <f>IF('Seaborne Supply'!F73=0,0,('FOB Cost'!F73/(1-Assumptions!$E73/100)+'Freight to Qingdao'!F77)/(1-Assumptions!$D73/100))</f>
        <v>68.73422159887798</v>
      </c>
      <c r="G74" s="33">
        <f>IF('Seaborne Supply'!G73=0,0,('FOB Cost'!G73/(1-Assumptions!$E73/100)+'Freight to Qingdao'!G77)/(1-Assumptions!$D73/100))</f>
        <v>65.781907433380084</v>
      </c>
      <c r="H74" s="33">
        <f>IF('Seaborne Supply'!H73=0,0,('FOB Cost'!H73/(1-Assumptions!$E73/100)+'Freight to Qingdao'!H77)/(1-Assumptions!$D73/100))</f>
        <v>54.633590462833091</v>
      </c>
      <c r="I74" s="33">
        <f>IF('Seaborne Supply'!I73=0,0,('FOB Cost'!I73/(1-Assumptions!$E73/100)+'Freight to Qingdao'!I77)/(1-Assumptions!$D73/100))</f>
        <v>47.624474053295927</v>
      </c>
      <c r="J74" s="33">
        <f>IF('Seaborne Supply'!J73=0,0,('FOB Cost'!J73/(1-Assumptions!$E73/100)+'Freight to Qingdao'!J77)/(1-Assumptions!$D73/100))</f>
        <v>51.220196353436179</v>
      </c>
      <c r="K74" s="33">
        <f>IF('Seaborne Supply'!K73=0,0,('FOB Cost'!K73/(1-Assumptions!$E73/100)+'Freight to Qingdao'!K77)/(1-Assumptions!$D73/100))</f>
        <v>53.185483870967737</v>
      </c>
      <c r="L74" s="33">
        <f>IF('Seaborne Supply'!L73=0,0,('FOB Cost'!L73/(1-Assumptions!$E73/100)+'Freight to Qingdao'!L77)/(1-Assumptions!$D73/100))</f>
        <v>54.389901823281903</v>
      </c>
      <c r="M74" s="33">
        <f>IF('Seaborne Supply'!M73=0,0,('FOB Cost'!M73/(1-Assumptions!$E73/100)+'Freight to Qingdao'!M77)/(1-Assumptions!$D73/100))</f>
        <v>51.111500701262273</v>
      </c>
      <c r="N74" s="33">
        <f>IF('Seaborne Supply'!N73=0,0,('FOB Cost'!N73/(1-Assumptions!$E73/100)+'Freight to Qingdao'!N77)/(1-Assumptions!$D73/100))</f>
        <v>60.268232819074328</v>
      </c>
      <c r="O74" s="33">
        <f>IF('Seaborne Supply'!O73=0,0,('FOB Cost'!O73/(1-Assumptions!$E73/100)+'Freight to Qingdao'!O77)/(1-Assumptions!$D73/100))</f>
        <v>64.451262272089764</v>
      </c>
      <c r="P74" s="33">
        <f>IF('Seaborne Supply'!P73=0,0,('FOB Cost'!P73/(1-Assumptions!$E73/100)+'Freight to Qingdao'!P77)/(1-Assumptions!$D73/100))</f>
        <v>60.955469845722298</v>
      </c>
      <c r="Q74" s="33">
        <f>IF('Seaborne Supply'!Q73=0,0,('FOB Cost'!Q73/(1-Assumptions!$E73/100)+'Freight to Qingdao'!Q77)/(1-Assumptions!$D73/100))</f>
        <v>60.285764375876575</v>
      </c>
      <c r="R74" s="33">
        <f>IF('Seaborne Supply'!R73=0,0,('FOB Cost'!R73/(1-Assumptions!$E73/100)+'Freight to Qingdao'!R77)/(1-Assumptions!$D73/100))</f>
        <v>57.007363253856937</v>
      </c>
      <c r="S74" s="33">
        <f>IF('Seaborne Supply'!S73=0,0,('FOB Cost'!S73/(1-Assumptions!$E73/100)+'Freight to Qingdao'!S77)/(1-Assumptions!$D73/100))</f>
        <v>59.607293127629731</v>
      </c>
      <c r="T74" s="33">
        <f>IF('Seaborne Supply'!T73=0,0,('FOB Cost'!T73/(1-Assumptions!$E73/100)+'Freight to Qingdao'!T77)/(1-Assumptions!$D73/100))</f>
        <v>58.636044880785406</v>
      </c>
      <c r="U74" s="33">
        <f>IF('Seaborne Supply'!U73=0,0,('FOB Cost'!U73/(1-Assumptions!$E73/100)+'Freight to Qingdao'!U77)/(1-Assumptions!$D73/100))</f>
        <v>58.970021037868158</v>
      </c>
      <c r="V74" s="33">
        <f>IF('Seaborne Supply'!V73=0,0,('FOB Cost'!V73/(1-Assumptions!$E73/100)+'Freight to Qingdao'!V77)/(1-Assumptions!$D73/100))</f>
        <v>59.411816269284706</v>
      </c>
      <c r="W74" s="33">
        <f>IF('Seaborne Supply'!W73=0,0,('FOB Cost'!W73/(1-Assumptions!$E73/100)+'Freight to Qingdao'!W77)/(1-Assumptions!$D73/100))</f>
        <v>60.615357643758763</v>
      </c>
      <c r="X74" s="33">
        <f>IF('Seaborne Supply'!X73=0,0,('FOB Cost'!X73/(1-Assumptions!$E73/100)+'Freight to Qingdao'!X77)/(1-Assumptions!$D73/100))</f>
        <v>61.81889901823282</v>
      </c>
      <c r="Y74" s="33">
        <f>IF('Seaborne Supply'!Y73=0,0,('FOB Cost'!Y73/(1-Assumptions!$E73/100)+'Freight to Qingdao'!Y77)/(1-Assumptions!$D73/100))</f>
        <v>63.022440392706876</v>
      </c>
      <c r="Z74" s="33">
        <f>IF('Seaborne Supply'!Z73=0,0,('FOB Cost'!Z73/(1-Assumptions!$E73/100)+'Freight to Qingdao'!Z77)/(1-Assumptions!$D73/100))</f>
        <v>64.33555399719495</v>
      </c>
      <c r="AA74" s="33">
        <f>IF('Seaborne Supply'!AA73=0,0,('FOB Cost'!AA73/(1-Assumptions!$E73/100)+'Freight to Qingdao'!AA77)/(1-Assumptions!$D73/100))</f>
        <v>65.539095371669006</v>
      </c>
      <c r="AB74" s="33">
        <f>IF('Seaborne Supply'!AB73=0,0,('FOB Cost'!AB73/(1-Assumptions!$E73/100)+'Freight to Qingdao'!AB77)/(1-Assumptions!$D73/100))</f>
        <v>66.852208976157087</v>
      </c>
    </row>
    <row r="75" spans="1:28" x14ac:dyDescent="0.2">
      <c r="A75" s="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</row>
    <row r="76" spans="1:28" x14ac:dyDescent="0.2">
      <c r="A76" s="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</row>
    <row r="77" spans="1:28" x14ac:dyDescent="0.2">
      <c r="A77" s="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</row>
    <row r="78" spans="1:28" x14ac:dyDescent="0.2">
      <c r="A78" s="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</row>
    <row r="79" spans="1:28" x14ac:dyDescent="0.2">
      <c r="A79" s="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</row>
    <row r="80" spans="1:28" x14ac:dyDescent="0.2">
      <c r="A80" s="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 spans="1:17" x14ac:dyDescent="0.2">
      <c r="A81" s="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</row>
    <row r="82" spans="1:17" x14ac:dyDescent="0.2">
      <c r="A82" s="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</row>
    <row r="83" spans="1:17" x14ac:dyDescent="0.2">
      <c r="A83" s="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</row>
    <row r="84" spans="1:17" x14ac:dyDescent="0.2">
      <c r="A84" s="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</row>
    <row r="85" spans="1:17" x14ac:dyDescent="0.2">
      <c r="A85" s="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</row>
    <row r="86" spans="1:17" x14ac:dyDescent="0.2">
      <c r="A86" s="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</row>
    <row r="87" spans="1:17" x14ac:dyDescent="0.2">
      <c r="A87" s="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</row>
    <row r="88" spans="1:17" x14ac:dyDescent="0.2">
      <c r="A88" s="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</row>
    <row r="89" spans="1:17" x14ac:dyDescent="0.2">
      <c r="A89" s="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</row>
    <row r="90" spans="1:17" x14ac:dyDescent="0.2">
      <c r="A90" s="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</row>
    <row r="91" spans="1:17" x14ac:dyDescent="0.2">
      <c r="A91" s="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</row>
    <row r="92" spans="1:17" x14ac:dyDescent="0.2">
      <c r="A92" s="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</row>
    <row r="93" spans="1:17" x14ac:dyDescent="0.2">
      <c r="A93" s="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</row>
    <row r="94" spans="1:17" x14ac:dyDescent="0.2">
      <c r="A94" s="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</row>
    <row r="95" spans="1:17" x14ac:dyDescent="0.2">
      <c r="A95" s="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</row>
    <row r="96" spans="1:17" x14ac:dyDescent="0.2">
      <c r="A96" s="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</row>
    <row r="97" spans="1:28" x14ac:dyDescent="0.2">
      <c r="A97" s="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</row>
    <row r="98" spans="1:28" x14ac:dyDescent="0.2">
      <c r="A98" s="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</row>
    <row r="99" spans="1:28" x14ac:dyDescent="0.2">
      <c r="A99" s="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</row>
    <row r="100" spans="1:28" ht="16" customHeight="1" x14ac:dyDescent="0.2">
      <c r="A100" s="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</row>
    <row r="101" spans="1:28" ht="16" customHeight="1" x14ac:dyDescent="0.2"/>
    <row r="102" spans="1:28" x14ac:dyDescent="0.2">
      <c r="A102" s="7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spans="1:28" x14ac:dyDescent="0.2">
      <c r="A103" s="7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spans="1:28" x14ac:dyDescent="0.2">
      <c r="A104" s="7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</row>
    <row r="105" spans="1:28" x14ac:dyDescent="0.2">
      <c r="A105" s="7"/>
      <c r="R105" s="41"/>
      <c r="V105" s="41"/>
      <c r="AB105" s="41"/>
    </row>
    <row r="107" spans="1:28" x14ac:dyDescent="0.2">
      <c r="A107" s="7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97D"/>
  </sheetPr>
  <dimension ref="A1:AM38"/>
  <sheetViews>
    <sheetView zoomScale="75" zoomScaleNormal="144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35" sqref="I35"/>
    </sheetView>
  </sheetViews>
  <sheetFormatPr baseColWidth="10" defaultColWidth="8.6640625" defaultRowHeight="14" x14ac:dyDescent="0.2"/>
  <cols>
    <col min="1" max="1" width="52" style="27" customWidth="1"/>
    <col min="2" max="2" width="2.33203125" style="27" customWidth="1"/>
    <col min="3" max="28" width="8" style="27" customWidth="1"/>
    <col min="29" max="16384" width="8.6640625" style="27"/>
  </cols>
  <sheetData>
    <row r="1" spans="1:28" x14ac:dyDescent="0.2">
      <c r="A1" s="4" t="s">
        <v>387</v>
      </c>
      <c r="B1" s="26"/>
    </row>
    <row r="2" spans="1:28" x14ac:dyDescent="0.2">
      <c r="A2" s="2" t="s">
        <v>389</v>
      </c>
    </row>
    <row r="3" spans="1:28" x14ac:dyDescent="0.2">
      <c r="A3" s="1" t="s">
        <v>388</v>
      </c>
      <c r="C3" s="1">
        <v>2010</v>
      </c>
      <c r="D3" s="1">
        <v>2011</v>
      </c>
      <c r="E3" s="1">
        <v>2012</v>
      </c>
      <c r="F3" s="1">
        <v>2013</v>
      </c>
      <c r="G3" s="1">
        <v>2014</v>
      </c>
      <c r="H3" s="1">
        <v>2015</v>
      </c>
      <c r="I3" s="1">
        <v>2016</v>
      </c>
      <c r="J3" s="1">
        <v>2017</v>
      </c>
      <c r="K3" s="1">
        <v>2018</v>
      </c>
      <c r="L3" s="1">
        <v>2019</v>
      </c>
      <c r="M3" s="1">
        <v>2020</v>
      </c>
      <c r="N3" s="1">
        <v>2021</v>
      </c>
      <c r="O3" s="1">
        <v>2022</v>
      </c>
      <c r="P3" s="1">
        <v>2023</v>
      </c>
      <c r="Q3" s="1">
        <v>2024</v>
      </c>
      <c r="R3" s="1">
        <v>2025</v>
      </c>
      <c r="S3" s="1">
        <v>2026</v>
      </c>
      <c r="T3" s="1">
        <v>2027</v>
      </c>
      <c r="U3" s="1">
        <v>2028</v>
      </c>
      <c r="V3" s="1">
        <v>2029</v>
      </c>
      <c r="W3" s="1">
        <v>2030</v>
      </c>
      <c r="X3" s="1">
        <v>2031</v>
      </c>
      <c r="Y3" s="1">
        <v>2032</v>
      </c>
      <c r="Z3" s="1">
        <v>2033</v>
      </c>
      <c r="AA3" s="1">
        <v>2034</v>
      </c>
      <c r="AB3" s="1">
        <v>2035</v>
      </c>
    </row>
    <row r="4" spans="1:28" x14ac:dyDescent="0.2">
      <c r="A4" s="4" t="s">
        <v>60</v>
      </c>
      <c r="B4" s="3"/>
    </row>
    <row r="5" spans="1:28" x14ac:dyDescent="0.2">
      <c r="A5" s="15" t="s">
        <v>374</v>
      </c>
      <c r="B5" s="3"/>
      <c r="C5" s="16">
        <v>638.70000000000005</v>
      </c>
      <c r="D5" s="16">
        <v>702</v>
      </c>
      <c r="E5" s="16">
        <v>731</v>
      </c>
      <c r="F5" s="16">
        <v>822</v>
      </c>
      <c r="G5" s="16">
        <v>822.7</v>
      </c>
      <c r="H5" s="16">
        <v>803.8</v>
      </c>
      <c r="I5" s="16">
        <v>808.4</v>
      </c>
      <c r="J5" s="16">
        <v>870.9</v>
      </c>
      <c r="K5" s="16">
        <v>928.3</v>
      </c>
      <c r="L5" s="16">
        <v>996.3</v>
      </c>
      <c r="M5" s="16">
        <v>1064.8</v>
      </c>
      <c r="N5" s="16">
        <v>1032.8</v>
      </c>
      <c r="O5" s="16">
        <v>1018</v>
      </c>
      <c r="P5" s="16">
        <v>1028.9000000000001</v>
      </c>
      <c r="Q5" s="16">
        <v>1005.1</v>
      </c>
      <c r="R5" s="16">
        <v>960.8</v>
      </c>
      <c r="S5" s="16">
        <v>960</v>
      </c>
      <c r="T5" s="16">
        <v>960</v>
      </c>
      <c r="U5" s="16">
        <v>955</v>
      </c>
      <c r="V5" s="16">
        <v>940</v>
      </c>
      <c r="W5" s="16">
        <v>925</v>
      </c>
      <c r="X5" s="16">
        <v>915</v>
      </c>
      <c r="Y5" s="16">
        <v>905</v>
      </c>
      <c r="Z5" s="16">
        <v>895</v>
      </c>
      <c r="AA5" s="16">
        <v>885</v>
      </c>
      <c r="AB5" s="16">
        <v>875</v>
      </c>
    </row>
    <row r="6" spans="1:28" x14ac:dyDescent="0.2">
      <c r="A6" s="15" t="s">
        <v>375</v>
      </c>
      <c r="B6" s="3"/>
      <c r="C6" s="17">
        <f t="shared" ref="C6:AB6" si="0">C7/C5</f>
        <v>0.93251917958352903</v>
      </c>
      <c r="D6" s="17">
        <f t="shared" si="0"/>
        <v>0.91937321937321936</v>
      </c>
      <c r="E6" s="17">
        <f t="shared" si="0"/>
        <v>0.91668946648426819</v>
      </c>
      <c r="F6" s="17">
        <f t="shared" si="0"/>
        <v>0.86545012165450119</v>
      </c>
      <c r="G6" s="17">
        <f t="shared" si="0"/>
        <v>0.86750942020177468</v>
      </c>
      <c r="H6" s="17">
        <f t="shared" si="0"/>
        <v>0.86016421995521275</v>
      </c>
      <c r="I6" s="17">
        <f t="shared" si="0"/>
        <v>0.86862939139040085</v>
      </c>
      <c r="J6" s="17">
        <f t="shared" si="0"/>
        <v>0.81938224824893791</v>
      </c>
      <c r="K6" s="17">
        <f t="shared" si="0"/>
        <v>0.84003016266293229</v>
      </c>
      <c r="L6" s="17">
        <f t="shared" si="0"/>
        <v>0.8114021880959551</v>
      </c>
      <c r="M6" s="17">
        <f t="shared" si="0"/>
        <v>0.83480465815176563</v>
      </c>
      <c r="N6" s="17">
        <f t="shared" si="0"/>
        <v>0.84091789310611931</v>
      </c>
      <c r="O6" s="17">
        <f t="shared" si="0"/>
        <v>0.84852652259332018</v>
      </c>
      <c r="P6" s="17">
        <f t="shared" si="0"/>
        <v>0.84760423753523173</v>
      </c>
      <c r="Q6" s="17">
        <f t="shared" si="0"/>
        <v>0.84737837031141183</v>
      </c>
      <c r="R6" s="17">
        <f t="shared" si="0"/>
        <v>0.87010824313072443</v>
      </c>
      <c r="S6" s="17">
        <f t="shared" si="0"/>
        <v>0.859375</v>
      </c>
      <c r="T6" s="17">
        <f t="shared" si="0"/>
        <v>0.85416666666666663</v>
      </c>
      <c r="U6" s="17">
        <f t="shared" si="0"/>
        <v>0.84816753926701571</v>
      </c>
      <c r="V6" s="17">
        <f t="shared" si="0"/>
        <v>0.8457446808510638</v>
      </c>
      <c r="W6" s="17">
        <f t="shared" si="0"/>
        <v>0.84324324324324329</v>
      </c>
      <c r="X6" s="17">
        <f t="shared" si="0"/>
        <v>0.83606557377049184</v>
      </c>
      <c r="Y6" s="17">
        <f t="shared" si="0"/>
        <v>0.82872928176795579</v>
      </c>
      <c r="Z6" s="17">
        <f t="shared" si="0"/>
        <v>0.82122905027932958</v>
      </c>
      <c r="AA6" s="17">
        <f t="shared" si="0"/>
        <v>0.81355932203389836</v>
      </c>
      <c r="AB6" s="17">
        <f t="shared" si="0"/>
        <v>0.80571428571428572</v>
      </c>
    </row>
    <row r="7" spans="1:28" x14ac:dyDescent="0.2">
      <c r="A7" s="18" t="s">
        <v>376</v>
      </c>
      <c r="B7" s="3"/>
      <c r="C7" s="19">
        <v>595.6</v>
      </c>
      <c r="D7" s="19">
        <v>645.4</v>
      </c>
      <c r="E7" s="19">
        <v>670.1</v>
      </c>
      <c r="F7" s="19">
        <v>711.4</v>
      </c>
      <c r="G7" s="19">
        <v>713.7</v>
      </c>
      <c r="H7" s="19">
        <v>691.4</v>
      </c>
      <c r="I7" s="19">
        <v>702.2</v>
      </c>
      <c r="J7" s="19">
        <v>713.6</v>
      </c>
      <c r="K7" s="19">
        <v>779.8</v>
      </c>
      <c r="L7" s="19">
        <v>808.4</v>
      </c>
      <c r="M7" s="19">
        <v>888.9</v>
      </c>
      <c r="N7" s="19">
        <v>868.5</v>
      </c>
      <c r="O7" s="19">
        <v>863.8</v>
      </c>
      <c r="P7" s="19">
        <v>872.1</v>
      </c>
      <c r="Q7" s="19">
        <v>851.7</v>
      </c>
      <c r="R7" s="19">
        <v>836</v>
      </c>
      <c r="S7" s="19">
        <v>825</v>
      </c>
      <c r="T7" s="19">
        <v>820</v>
      </c>
      <c r="U7" s="19">
        <v>810</v>
      </c>
      <c r="V7" s="19">
        <v>795</v>
      </c>
      <c r="W7" s="19">
        <v>780</v>
      </c>
      <c r="X7" s="19">
        <v>765</v>
      </c>
      <c r="Y7" s="19">
        <v>750</v>
      </c>
      <c r="Z7" s="19">
        <v>735</v>
      </c>
      <c r="AA7" s="19">
        <v>720</v>
      </c>
      <c r="AB7" s="19">
        <v>705</v>
      </c>
    </row>
    <row r="8" spans="1:28" x14ac:dyDescent="0.2">
      <c r="A8" s="15" t="s">
        <v>377</v>
      </c>
      <c r="B8" s="3"/>
      <c r="C8" s="16">
        <v>1.6</v>
      </c>
      <c r="D8" s="16">
        <v>1.6</v>
      </c>
      <c r="E8" s="16">
        <v>1.6</v>
      </c>
      <c r="F8" s="16">
        <v>1.6</v>
      </c>
      <c r="G8" s="16">
        <v>1.6</v>
      </c>
      <c r="H8" s="16">
        <v>1.6</v>
      </c>
      <c r="I8" s="16">
        <v>1.6</v>
      </c>
      <c r="J8" s="16">
        <v>1.6</v>
      </c>
      <c r="K8" s="16">
        <v>1.6</v>
      </c>
      <c r="L8" s="16">
        <v>1.6</v>
      </c>
      <c r="M8" s="16">
        <v>1.6</v>
      </c>
      <c r="N8" s="16">
        <v>1.6</v>
      </c>
      <c r="O8" s="16">
        <v>1.6</v>
      </c>
      <c r="P8" s="16">
        <v>1.6</v>
      </c>
      <c r="Q8" s="16">
        <v>1.6</v>
      </c>
      <c r="R8" s="16">
        <v>1.6</v>
      </c>
      <c r="S8" s="16">
        <v>1.6</v>
      </c>
      <c r="T8" s="16">
        <v>1.6</v>
      </c>
      <c r="U8" s="16">
        <v>1.6</v>
      </c>
      <c r="V8" s="16">
        <v>1.6</v>
      </c>
      <c r="W8" s="16">
        <v>1.6</v>
      </c>
      <c r="X8" s="16">
        <v>1.6</v>
      </c>
      <c r="Y8" s="16">
        <v>1.6</v>
      </c>
      <c r="Z8" s="16">
        <v>1.6</v>
      </c>
      <c r="AA8" s="16">
        <v>1.6</v>
      </c>
      <c r="AB8" s="16">
        <v>1.6</v>
      </c>
    </row>
    <row r="9" spans="1:28" x14ac:dyDescent="0.2">
      <c r="A9" s="18" t="s">
        <v>378</v>
      </c>
      <c r="B9" s="3"/>
      <c r="C9" s="19">
        <f t="shared" ref="C9:AB9" si="1">C7*C8</f>
        <v>952.96</v>
      </c>
      <c r="D9" s="19">
        <f t="shared" si="1"/>
        <v>1032.6400000000001</v>
      </c>
      <c r="E9" s="19">
        <f t="shared" si="1"/>
        <v>1072.1600000000001</v>
      </c>
      <c r="F9" s="19">
        <f t="shared" si="1"/>
        <v>1138.24</v>
      </c>
      <c r="G9" s="19">
        <f t="shared" si="1"/>
        <v>1141.92</v>
      </c>
      <c r="H9" s="19">
        <f t="shared" si="1"/>
        <v>1106.24</v>
      </c>
      <c r="I9" s="19">
        <f t="shared" si="1"/>
        <v>1123.5200000000002</v>
      </c>
      <c r="J9" s="19">
        <f t="shared" si="1"/>
        <v>1141.76</v>
      </c>
      <c r="K9" s="19">
        <f t="shared" si="1"/>
        <v>1247.68</v>
      </c>
      <c r="L9" s="19">
        <f t="shared" si="1"/>
        <v>1293.44</v>
      </c>
      <c r="M9" s="19">
        <f t="shared" si="1"/>
        <v>1422.24</v>
      </c>
      <c r="N9" s="19">
        <f t="shared" si="1"/>
        <v>1389.6000000000001</v>
      </c>
      <c r="O9" s="19">
        <f t="shared" si="1"/>
        <v>1382.08</v>
      </c>
      <c r="P9" s="19">
        <f t="shared" si="1"/>
        <v>1395.3600000000001</v>
      </c>
      <c r="Q9" s="19">
        <f t="shared" si="1"/>
        <v>1362.7200000000003</v>
      </c>
      <c r="R9" s="19">
        <f t="shared" si="1"/>
        <v>1337.6000000000001</v>
      </c>
      <c r="S9" s="19">
        <f t="shared" si="1"/>
        <v>1320</v>
      </c>
      <c r="T9" s="19">
        <f t="shared" si="1"/>
        <v>1312</v>
      </c>
      <c r="U9" s="19">
        <f t="shared" si="1"/>
        <v>1296</v>
      </c>
      <c r="V9" s="19">
        <f t="shared" si="1"/>
        <v>1272</v>
      </c>
      <c r="W9" s="19">
        <f t="shared" si="1"/>
        <v>1248</v>
      </c>
      <c r="X9" s="19">
        <f t="shared" si="1"/>
        <v>1224</v>
      </c>
      <c r="Y9" s="19">
        <f t="shared" si="1"/>
        <v>1200</v>
      </c>
      <c r="Z9" s="19">
        <f t="shared" si="1"/>
        <v>1176</v>
      </c>
      <c r="AA9" s="19">
        <f t="shared" si="1"/>
        <v>1152</v>
      </c>
      <c r="AB9" s="19">
        <f t="shared" si="1"/>
        <v>1128</v>
      </c>
    </row>
    <row r="10" spans="1:28" x14ac:dyDescent="0.2">
      <c r="A10" s="15" t="s">
        <v>379</v>
      </c>
      <c r="B10" s="3"/>
      <c r="C10" s="16">
        <v>371</v>
      </c>
      <c r="D10" s="16">
        <v>442</v>
      </c>
      <c r="E10" s="16">
        <v>420</v>
      </c>
      <c r="F10" s="16">
        <v>417</v>
      </c>
      <c r="G10" s="16">
        <v>410</v>
      </c>
      <c r="H10" s="16">
        <v>375</v>
      </c>
      <c r="I10" s="16">
        <v>353</v>
      </c>
      <c r="J10" s="16">
        <v>360</v>
      </c>
      <c r="K10" s="16">
        <v>335</v>
      </c>
      <c r="L10" s="16">
        <v>351</v>
      </c>
      <c r="M10" s="16">
        <v>360</v>
      </c>
      <c r="N10" s="16">
        <v>394</v>
      </c>
      <c r="O10" s="16">
        <v>272</v>
      </c>
      <c r="P10" s="16">
        <v>278</v>
      </c>
      <c r="Q10" s="16">
        <v>293</v>
      </c>
      <c r="R10" s="16">
        <v>290</v>
      </c>
      <c r="S10" s="16">
        <v>275</v>
      </c>
      <c r="T10" s="16">
        <v>260</v>
      </c>
      <c r="U10" s="16">
        <v>245</v>
      </c>
      <c r="V10" s="16">
        <v>230</v>
      </c>
      <c r="W10" s="16">
        <v>215</v>
      </c>
      <c r="X10" s="16">
        <v>200</v>
      </c>
      <c r="Y10" s="16">
        <v>185</v>
      </c>
      <c r="Z10" s="16">
        <v>170</v>
      </c>
      <c r="AA10" s="16">
        <v>155</v>
      </c>
      <c r="AB10" s="16">
        <v>140</v>
      </c>
    </row>
    <row r="11" spans="1:28" x14ac:dyDescent="0.2">
      <c r="A11" s="15" t="s">
        <v>380</v>
      </c>
      <c r="B11" s="3"/>
      <c r="C11" s="33">
        <v>3.4</v>
      </c>
      <c r="D11" s="33">
        <v>5.8</v>
      </c>
      <c r="E11" s="33">
        <v>7.5</v>
      </c>
      <c r="F11" s="33">
        <v>7.5</v>
      </c>
      <c r="G11" s="33">
        <v>7.4</v>
      </c>
      <c r="H11" s="33">
        <v>5.7</v>
      </c>
      <c r="I11" s="33">
        <v>6</v>
      </c>
      <c r="J11" s="33">
        <v>6.3</v>
      </c>
      <c r="K11" s="33">
        <v>7.4</v>
      </c>
      <c r="L11" s="33">
        <v>8.4</v>
      </c>
      <c r="M11" s="33">
        <v>7.5</v>
      </c>
      <c r="N11" s="33">
        <v>8.4</v>
      </c>
      <c r="O11" s="33">
        <v>4.9000000000000004</v>
      </c>
      <c r="P11" s="33">
        <v>7.5</v>
      </c>
      <c r="Q11" s="33">
        <v>7.5</v>
      </c>
      <c r="R11" s="33">
        <v>8.8000000000000007</v>
      </c>
      <c r="S11" s="33">
        <v>9.4</v>
      </c>
      <c r="T11" s="33">
        <v>10</v>
      </c>
      <c r="U11" s="33">
        <v>10</v>
      </c>
      <c r="V11" s="33">
        <v>10</v>
      </c>
      <c r="W11" s="33">
        <v>10</v>
      </c>
      <c r="X11" s="33">
        <v>10</v>
      </c>
      <c r="Y11" s="33">
        <v>10</v>
      </c>
      <c r="Z11" s="33">
        <v>10</v>
      </c>
      <c r="AA11" s="33">
        <v>10</v>
      </c>
      <c r="AB11" s="33">
        <v>10</v>
      </c>
    </row>
    <row r="12" spans="1:28" x14ac:dyDescent="0.2">
      <c r="A12" s="15" t="s">
        <v>381</v>
      </c>
      <c r="C12" s="16">
        <v>9</v>
      </c>
      <c r="D12" s="16">
        <v>18</v>
      </c>
      <c r="E12" s="16">
        <v>-24</v>
      </c>
      <c r="F12" s="16">
        <v>11</v>
      </c>
      <c r="G12" s="16">
        <v>14</v>
      </c>
      <c r="H12" s="16">
        <v>-6</v>
      </c>
      <c r="I12" s="16">
        <v>13</v>
      </c>
      <c r="J12" s="16">
        <v>30</v>
      </c>
      <c r="K12" s="16">
        <v>-8</v>
      </c>
      <c r="L12" s="16">
        <v>-15</v>
      </c>
      <c r="M12" s="16">
        <v>3</v>
      </c>
      <c r="N12" s="16">
        <v>26</v>
      </c>
      <c r="O12" s="16">
        <v>-17</v>
      </c>
      <c r="P12" s="16">
        <v>-14</v>
      </c>
      <c r="Q12" s="16">
        <v>24</v>
      </c>
      <c r="R12" s="16">
        <v>5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</row>
    <row r="13" spans="1:28" x14ac:dyDescent="0.2">
      <c r="A13" s="15" t="s">
        <v>382</v>
      </c>
      <c r="B13" s="5"/>
      <c r="C13" s="16">
        <v>31.439999999999962</v>
      </c>
      <c r="D13" s="16">
        <v>83.159999999999897</v>
      </c>
      <c r="E13" s="16">
        <v>124.33999999999992</v>
      </c>
      <c r="F13" s="16">
        <v>95.259999999999991</v>
      </c>
      <c r="G13" s="16">
        <v>194.47999999999993</v>
      </c>
      <c r="H13" s="16">
        <v>233.45999999999998</v>
      </c>
      <c r="I13" s="16">
        <v>247.47999999999979</v>
      </c>
      <c r="J13" s="16">
        <v>269.93756300000001</v>
      </c>
      <c r="K13" s="16">
        <v>167.06818699999977</v>
      </c>
      <c r="L13" s="16">
        <v>150.17718600000003</v>
      </c>
      <c r="M13" s="16">
        <v>112.375585</v>
      </c>
      <c r="N13" s="16">
        <v>112.43255300000001</v>
      </c>
      <c r="O13" s="16">
        <v>19.570300000000223</v>
      </c>
      <c r="P13" s="16">
        <v>82.53279799999973</v>
      </c>
      <c r="Q13" s="16">
        <v>151.93457199999966</v>
      </c>
      <c r="R13" s="16">
        <v>216.41976200000005</v>
      </c>
      <c r="S13" s="16">
        <v>205</v>
      </c>
      <c r="T13" s="16">
        <v>188</v>
      </c>
      <c r="U13" s="16">
        <v>179</v>
      </c>
      <c r="V13" s="16">
        <v>178</v>
      </c>
      <c r="W13" s="16">
        <v>172</v>
      </c>
      <c r="X13" s="16">
        <v>161</v>
      </c>
      <c r="Y13" s="16">
        <v>150</v>
      </c>
      <c r="Z13" s="16">
        <v>139</v>
      </c>
      <c r="AA13" s="16">
        <v>123</v>
      </c>
      <c r="AB13" s="16">
        <v>107</v>
      </c>
    </row>
    <row r="14" spans="1:28" x14ac:dyDescent="0.2">
      <c r="A14" s="20" t="s">
        <v>383</v>
      </c>
      <c r="C14" s="21">
        <f>C9-C10-C11+C12+C13</f>
        <v>619</v>
      </c>
      <c r="D14" s="21">
        <f>D9-D10-D11+D12+D13</f>
        <v>686</v>
      </c>
      <c r="E14" s="21">
        <f t="shared" ref="E14:AB14" si="2">E9-E10-E11+E12+E13</f>
        <v>745</v>
      </c>
      <c r="F14" s="21">
        <f t="shared" si="2"/>
        <v>820</v>
      </c>
      <c r="G14" s="21">
        <f t="shared" si="2"/>
        <v>933</v>
      </c>
      <c r="H14" s="21">
        <f t="shared" si="2"/>
        <v>953</v>
      </c>
      <c r="I14" s="21">
        <f t="shared" si="2"/>
        <v>1025</v>
      </c>
      <c r="J14" s="21">
        <f t="shared" si="2"/>
        <v>1075.397563</v>
      </c>
      <c r="K14" s="21">
        <f t="shared" si="2"/>
        <v>1064.3481869999998</v>
      </c>
      <c r="L14" s="21">
        <f t="shared" si="2"/>
        <v>1069.2171860000001</v>
      </c>
      <c r="M14" s="21">
        <f t="shared" si="2"/>
        <v>1170.115585</v>
      </c>
      <c r="N14" s="21">
        <f t="shared" si="2"/>
        <v>1125.6325530000001</v>
      </c>
      <c r="O14" s="21">
        <f t="shared" si="2"/>
        <v>1107.7503000000002</v>
      </c>
      <c r="P14" s="21">
        <f t="shared" si="2"/>
        <v>1178.3927979999999</v>
      </c>
      <c r="Q14" s="21">
        <f t="shared" si="2"/>
        <v>1238.1545719999999</v>
      </c>
      <c r="R14" s="21">
        <f t="shared" si="2"/>
        <v>1260.2197620000002</v>
      </c>
      <c r="S14" s="21">
        <f t="shared" si="2"/>
        <v>1240.5999999999999</v>
      </c>
      <c r="T14" s="21">
        <f t="shared" si="2"/>
        <v>1230</v>
      </c>
      <c r="U14" s="21">
        <f t="shared" si="2"/>
        <v>1220</v>
      </c>
      <c r="V14" s="21">
        <f t="shared" si="2"/>
        <v>1210</v>
      </c>
      <c r="W14" s="21">
        <f t="shared" si="2"/>
        <v>1195</v>
      </c>
      <c r="X14" s="21">
        <f t="shared" si="2"/>
        <v>1175</v>
      </c>
      <c r="Y14" s="21">
        <f t="shared" si="2"/>
        <v>1155</v>
      </c>
      <c r="Z14" s="21">
        <f t="shared" si="2"/>
        <v>1135</v>
      </c>
      <c r="AA14" s="21">
        <f t="shared" si="2"/>
        <v>1110</v>
      </c>
      <c r="AB14" s="21">
        <f t="shared" si="2"/>
        <v>1085</v>
      </c>
    </row>
    <row r="15" spans="1:28" ht="15" x14ac:dyDescent="0.2">
      <c r="A15" s="15" t="s">
        <v>384</v>
      </c>
      <c r="C15" s="40">
        <v>431</v>
      </c>
      <c r="D15" s="40">
        <v>456</v>
      </c>
      <c r="E15" s="40">
        <v>413</v>
      </c>
      <c r="F15" s="40">
        <v>463</v>
      </c>
      <c r="G15" s="40">
        <v>477.5</v>
      </c>
      <c r="H15" s="40">
        <v>487</v>
      </c>
      <c r="I15" s="40">
        <v>489</v>
      </c>
      <c r="J15" s="16">
        <v>473.55770399999989</v>
      </c>
      <c r="K15" s="16">
        <v>492.25875200000007</v>
      </c>
      <c r="L15" s="16">
        <v>465.25960300000014</v>
      </c>
      <c r="M15" s="16">
        <v>389.17071100000015</v>
      </c>
      <c r="N15" s="16">
        <v>466.97899999999998</v>
      </c>
      <c r="O15" s="16">
        <v>408.33163100000007</v>
      </c>
      <c r="P15" s="16">
        <v>398.28528200000011</v>
      </c>
      <c r="Q15" s="16">
        <v>407.67900900000006</v>
      </c>
      <c r="R15" s="16">
        <v>410.14591399999989</v>
      </c>
      <c r="S15" s="7">
        <v>420</v>
      </c>
      <c r="T15" s="7">
        <v>415</v>
      </c>
      <c r="U15" s="7">
        <v>410</v>
      </c>
      <c r="V15" s="7">
        <v>405</v>
      </c>
      <c r="W15" s="7">
        <v>405</v>
      </c>
      <c r="X15" s="7">
        <v>405</v>
      </c>
      <c r="Y15" s="7">
        <v>405</v>
      </c>
      <c r="Z15" s="7">
        <v>405</v>
      </c>
      <c r="AA15" s="7">
        <v>410</v>
      </c>
      <c r="AB15" s="7">
        <v>415</v>
      </c>
    </row>
    <row r="16" spans="1:28" x14ac:dyDescent="0.2">
      <c r="A16" s="22" t="s">
        <v>385</v>
      </c>
      <c r="C16" s="23">
        <f>SUM(C14:C15)</f>
        <v>1050</v>
      </c>
      <c r="D16" s="23">
        <f t="shared" ref="D16:AB16" si="3">SUM(D14:D15)</f>
        <v>1142</v>
      </c>
      <c r="E16" s="23">
        <f t="shared" si="3"/>
        <v>1158</v>
      </c>
      <c r="F16" s="23">
        <f t="shared" si="3"/>
        <v>1283</v>
      </c>
      <c r="G16" s="23">
        <f t="shared" si="3"/>
        <v>1410.5</v>
      </c>
      <c r="H16" s="23">
        <f t="shared" si="3"/>
        <v>1440</v>
      </c>
      <c r="I16" s="23">
        <f t="shared" si="3"/>
        <v>1514</v>
      </c>
      <c r="J16" s="23">
        <f t="shared" si="3"/>
        <v>1548.9552669999998</v>
      </c>
      <c r="K16" s="23">
        <f t="shared" si="3"/>
        <v>1556.6069389999998</v>
      </c>
      <c r="L16" s="23">
        <f t="shared" si="3"/>
        <v>1534.4767890000003</v>
      </c>
      <c r="M16" s="23">
        <f t="shared" si="3"/>
        <v>1559.2862960000002</v>
      </c>
      <c r="N16" s="23">
        <f t="shared" si="3"/>
        <v>1592.6115530000002</v>
      </c>
      <c r="O16" s="23">
        <f t="shared" si="3"/>
        <v>1516.0819310000002</v>
      </c>
      <c r="P16" s="23">
        <f t="shared" si="3"/>
        <v>1576.6780799999999</v>
      </c>
      <c r="Q16" s="23">
        <f t="shared" si="3"/>
        <v>1645.8335809999999</v>
      </c>
      <c r="R16" s="23">
        <f t="shared" si="3"/>
        <v>1670.3656760000001</v>
      </c>
      <c r="S16" s="23">
        <f t="shared" si="3"/>
        <v>1660.6</v>
      </c>
      <c r="T16" s="23">
        <f t="shared" si="3"/>
        <v>1645</v>
      </c>
      <c r="U16" s="23">
        <f t="shared" si="3"/>
        <v>1630</v>
      </c>
      <c r="V16" s="23">
        <f t="shared" si="3"/>
        <v>1615</v>
      </c>
      <c r="W16" s="23">
        <f t="shared" si="3"/>
        <v>1600</v>
      </c>
      <c r="X16" s="23">
        <f t="shared" si="3"/>
        <v>1580</v>
      </c>
      <c r="Y16" s="23">
        <f t="shared" si="3"/>
        <v>1560</v>
      </c>
      <c r="Z16" s="23">
        <f t="shared" si="3"/>
        <v>1540</v>
      </c>
      <c r="AA16" s="23">
        <f t="shared" si="3"/>
        <v>1520</v>
      </c>
      <c r="AB16" s="23">
        <f t="shared" si="3"/>
        <v>1500</v>
      </c>
    </row>
    <row r="17" spans="1:39" x14ac:dyDescent="0.2">
      <c r="A17" s="24" t="s">
        <v>386</v>
      </c>
      <c r="B17" s="28"/>
      <c r="C17" s="25">
        <f t="shared" ref="C17:AB17" si="4">IFERROR(C14/C16,0)</f>
        <v>0.58952380952380956</v>
      </c>
      <c r="D17" s="25">
        <f t="shared" si="4"/>
        <v>0.6007005253940455</v>
      </c>
      <c r="E17" s="25">
        <f t="shared" si="4"/>
        <v>0.64335060449050085</v>
      </c>
      <c r="F17" s="25">
        <f t="shared" si="4"/>
        <v>0.63912704598597037</v>
      </c>
      <c r="G17" s="25">
        <f t="shared" si="4"/>
        <v>0.66146756469337109</v>
      </c>
      <c r="H17" s="25">
        <f t="shared" si="4"/>
        <v>0.66180555555555554</v>
      </c>
      <c r="I17" s="25">
        <f t="shared" si="4"/>
        <v>0.6770145310435931</v>
      </c>
      <c r="J17" s="25">
        <f t="shared" si="4"/>
        <v>0.69427283402626505</v>
      </c>
      <c r="K17" s="25">
        <f t="shared" si="4"/>
        <v>0.68376168725276376</v>
      </c>
      <c r="L17" s="25">
        <f t="shared" si="4"/>
        <v>0.69679593309247501</v>
      </c>
      <c r="M17" s="25">
        <f t="shared" si="4"/>
        <v>0.75041741083832358</v>
      </c>
      <c r="N17" s="25">
        <f t="shared" si="4"/>
        <v>0.70678411875114655</v>
      </c>
      <c r="O17" s="25">
        <f t="shared" si="4"/>
        <v>0.73066651435475749</v>
      </c>
      <c r="P17" s="25">
        <f t="shared" si="4"/>
        <v>0.74738959902328317</v>
      </c>
      <c r="Q17" s="25">
        <f t="shared" si="4"/>
        <v>0.75229633560381215</v>
      </c>
      <c r="R17" s="25">
        <f t="shared" si="4"/>
        <v>0.75445741019884327</v>
      </c>
      <c r="S17" s="25">
        <f t="shared" si="4"/>
        <v>0.74707936890280624</v>
      </c>
      <c r="T17" s="25">
        <f t="shared" si="4"/>
        <v>0.74772036474164139</v>
      </c>
      <c r="U17" s="25">
        <f t="shared" si="4"/>
        <v>0.74846625766871167</v>
      </c>
      <c r="V17" s="25">
        <f t="shared" si="4"/>
        <v>0.74922600619195046</v>
      </c>
      <c r="W17" s="25">
        <f t="shared" si="4"/>
        <v>0.74687499999999996</v>
      </c>
      <c r="X17" s="25">
        <f t="shared" si="4"/>
        <v>0.74367088607594933</v>
      </c>
      <c r="Y17" s="25">
        <f t="shared" si="4"/>
        <v>0.74038461538461542</v>
      </c>
      <c r="Z17" s="25">
        <f t="shared" si="4"/>
        <v>0.73701298701298701</v>
      </c>
      <c r="AA17" s="25">
        <f t="shared" si="4"/>
        <v>0.73026315789473684</v>
      </c>
      <c r="AB17" s="25">
        <f t="shared" si="4"/>
        <v>0.72333333333333338</v>
      </c>
    </row>
    <row r="19" spans="1:39" x14ac:dyDescent="0.2">
      <c r="A19" s="4"/>
      <c r="J19" s="29"/>
      <c r="K19" s="29"/>
      <c r="L19" s="29"/>
      <c r="M19" s="29"/>
      <c r="N19" s="29"/>
      <c r="O19" s="29"/>
      <c r="P19" s="29"/>
      <c r="Q19" s="29"/>
      <c r="R19" s="29"/>
    </row>
    <row r="20" spans="1:39" x14ac:dyDescent="0.2">
      <c r="A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39" x14ac:dyDescent="0.2">
      <c r="A21" s="2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39" x14ac:dyDescent="0.2">
      <c r="A22" s="2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39" x14ac:dyDescent="0.2">
      <c r="A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39" x14ac:dyDescent="0.2">
      <c r="A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39" ht="15" x14ac:dyDescent="0.2">
      <c r="A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15" x14ac:dyDescent="0.2">
      <c r="A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8"/>
      <c r="AD26"/>
      <c r="AE26"/>
      <c r="AF26"/>
      <c r="AG26"/>
      <c r="AH26"/>
      <c r="AI26"/>
      <c r="AJ26"/>
      <c r="AK26"/>
      <c r="AL26"/>
      <c r="AM26"/>
    </row>
    <row r="27" spans="1:39" ht="15" x14ac:dyDescent="0.2">
      <c r="A27" s="2"/>
      <c r="C27" s="3"/>
      <c r="D27" s="8"/>
      <c r="E27" s="8"/>
      <c r="F27" s="8"/>
      <c r="G27" s="8"/>
      <c r="H27" s="8"/>
      <c r="I27" s="8"/>
      <c r="J27" s="8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5" x14ac:dyDescent="0.2">
      <c r="A28" s="2"/>
      <c r="C28" s="3"/>
      <c r="D28" s="8"/>
      <c r="E28" s="8"/>
      <c r="F28" s="8"/>
      <c r="G28" s="8"/>
      <c r="H28" s="8"/>
      <c r="I28" s="8"/>
      <c r="J28" s="8"/>
      <c r="K2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x14ac:dyDescent="0.2">
      <c r="A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1" spans="1:39" x14ac:dyDescent="0.2">
      <c r="A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39" ht="15" x14ac:dyDescent="0.2"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8" ht="15" x14ac:dyDescent="0.2">
      <c r="A33" s="2"/>
      <c r="J33" s="3"/>
      <c r="K33" s="3"/>
      <c r="L33" s="3"/>
      <c r="M33" s="3"/>
      <c r="N33" s="3"/>
      <c r="O33" s="3"/>
      <c r="P33" s="3"/>
      <c r="Q33" s="3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8" x14ac:dyDescent="0.2">
      <c r="A34" s="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6" spans="1:28" x14ac:dyDescent="0.2">
      <c r="A36" s="2"/>
      <c r="Q36" s="3"/>
      <c r="R36" s="3"/>
      <c r="V36" s="3"/>
      <c r="AB36" s="3"/>
    </row>
    <row r="37" spans="1:28" x14ac:dyDescent="0.2">
      <c r="A37" s="2"/>
      <c r="R37" s="6"/>
      <c r="V37" s="6"/>
      <c r="AB37" s="6"/>
    </row>
    <row r="38" spans="1:28" x14ac:dyDescent="0.2">
      <c r="A38" s="2"/>
      <c r="R38" s="3"/>
      <c r="V38" s="3"/>
      <c r="AB38" s="3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38D9-E7AE-9C4A-92AE-F6B61278D025}">
  <sheetPr>
    <tabColor rgb="FF404C4F"/>
  </sheetPr>
  <dimension ref="A1:F17"/>
  <sheetViews>
    <sheetView tabSelected="1" workbookViewId="0">
      <selection activeCell="H19" sqref="H19"/>
    </sheetView>
  </sheetViews>
  <sheetFormatPr baseColWidth="10" defaultRowHeight="15" x14ac:dyDescent="0.2"/>
  <sheetData>
    <row r="1" spans="1:6" x14ac:dyDescent="0.2">
      <c r="A1" t="s">
        <v>392</v>
      </c>
      <c r="B1" t="s">
        <v>395</v>
      </c>
      <c r="C1" t="s">
        <v>393</v>
      </c>
      <c r="D1" t="s">
        <v>394</v>
      </c>
      <c r="E1" t="s">
        <v>396</v>
      </c>
      <c r="F1" t="s">
        <v>397</v>
      </c>
    </row>
    <row r="2" spans="1:6" x14ac:dyDescent="0.2">
      <c r="A2">
        <v>2010</v>
      </c>
      <c r="B2">
        <v>146.72</v>
      </c>
      <c r="C2">
        <v>81.209999999999994</v>
      </c>
      <c r="D2">
        <v>2758</v>
      </c>
      <c r="E2">
        <v>517308.53</v>
      </c>
    </row>
    <row r="3" spans="1:6" x14ac:dyDescent="0.2">
      <c r="A3">
        <v>2011</v>
      </c>
      <c r="B3">
        <v>167.79</v>
      </c>
      <c r="C3">
        <v>76.497</v>
      </c>
      <c r="D3">
        <v>1549</v>
      </c>
      <c r="E3">
        <v>566377.99</v>
      </c>
    </row>
    <row r="4" spans="1:6" x14ac:dyDescent="0.2">
      <c r="A4">
        <v>2012</v>
      </c>
      <c r="B4">
        <v>128.53</v>
      </c>
      <c r="C4">
        <v>80.578999999999994</v>
      </c>
      <c r="D4">
        <v>920</v>
      </c>
      <c r="E4">
        <v>610823.71</v>
      </c>
    </row>
    <row r="5" spans="1:6" x14ac:dyDescent="0.2">
      <c r="A5">
        <v>2013</v>
      </c>
      <c r="B5">
        <v>135.36000000000001</v>
      </c>
      <c r="C5">
        <v>81.441000000000003</v>
      </c>
      <c r="D5">
        <v>1206</v>
      </c>
      <c r="E5">
        <v>658306.91</v>
      </c>
    </row>
    <row r="6" spans="1:6" x14ac:dyDescent="0.2">
      <c r="A6">
        <v>2014</v>
      </c>
      <c r="B6">
        <v>97.39</v>
      </c>
      <c r="C6">
        <v>82.552000000000007</v>
      </c>
      <c r="D6">
        <v>1105</v>
      </c>
      <c r="E6">
        <v>707664.36</v>
      </c>
    </row>
    <row r="7" spans="1:6" x14ac:dyDescent="0.2">
      <c r="A7">
        <v>2015</v>
      </c>
      <c r="B7">
        <v>56.14</v>
      </c>
      <c r="C7">
        <v>96.311000000000007</v>
      </c>
      <c r="D7">
        <v>718</v>
      </c>
      <c r="E7">
        <v>757366.87</v>
      </c>
    </row>
    <row r="8" spans="1:6" x14ac:dyDescent="0.2">
      <c r="A8">
        <v>2016</v>
      </c>
      <c r="B8">
        <v>58.57</v>
      </c>
      <c r="C8">
        <v>96.891000000000005</v>
      </c>
      <c r="D8">
        <v>673</v>
      </c>
      <c r="E8">
        <v>808486.53</v>
      </c>
    </row>
    <row r="9" spans="1:6" x14ac:dyDescent="0.2">
      <c r="A9">
        <v>2017</v>
      </c>
      <c r="B9">
        <v>71.13</v>
      </c>
      <c r="C9">
        <v>96.602999999999994</v>
      </c>
      <c r="D9">
        <v>1145</v>
      </c>
      <c r="E9">
        <v>864462.18</v>
      </c>
    </row>
    <row r="10" spans="1:6" x14ac:dyDescent="0.2">
      <c r="A10">
        <v>2018</v>
      </c>
      <c r="B10">
        <v>70.14</v>
      </c>
      <c r="C10">
        <v>93.587000000000003</v>
      </c>
      <c r="D10">
        <v>1353</v>
      </c>
      <c r="E10">
        <v>922788.75</v>
      </c>
    </row>
    <row r="11" spans="1:6" x14ac:dyDescent="0.2">
      <c r="A11">
        <v>2019</v>
      </c>
      <c r="B11">
        <v>93.62</v>
      </c>
      <c r="C11">
        <v>97.397000000000006</v>
      </c>
      <c r="D11">
        <v>1353</v>
      </c>
      <c r="E11">
        <v>979042.91</v>
      </c>
    </row>
    <row r="12" spans="1:6" x14ac:dyDescent="0.2">
      <c r="A12">
        <v>2020</v>
      </c>
      <c r="B12">
        <v>108.07</v>
      </c>
      <c r="C12">
        <v>95.820999999999998</v>
      </c>
      <c r="D12">
        <v>1066</v>
      </c>
      <c r="E12">
        <v>999107.13</v>
      </c>
    </row>
    <row r="13" spans="1:6" x14ac:dyDescent="0.2">
      <c r="A13">
        <v>2021</v>
      </c>
      <c r="B13">
        <v>158.16</v>
      </c>
      <c r="C13">
        <v>92.492999999999995</v>
      </c>
      <c r="D13">
        <v>2943</v>
      </c>
      <c r="E13">
        <v>1087584.23</v>
      </c>
      <c r="F13" s="42">
        <v>71.099999999999994</v>
      </c>
    </row>
    <row r="14" spans="1:6" x14ac:dyDescent="0.2">
      <c r="A14">
        <v>2022</v>
      </c>
      <c r="B14">
        <v>120.7</v>
      </c>
      <c r="C14">
        <v>103.997</v>
      </c>
      <c r="D14">
        <v>1934</v>
      </c>
      <c r="E14">
        <v>1121646.7</v>
      </c>
      <c r="F14" s="42">
        <v>83.15</v>
      </c>
    </row>
    <row r="15" spans="1:6" x14ac:dyDescent="0.2">
      <c r="A15">
        <v>2023</v>
      </c>
      <c r="B15">
        <v>120.32</v>
      </c>
      <c r="C15">
        <v>103.44</v>
      </c>
      <c r="D15">
        <v>1378</v>
      </c>
      <c r="E15">
        <v>1181903.23</v>
      </c>
      <c r="F15" s="42">
        <v>90.45</v>
      </c>
    </row>
    <row r="16" spans="1:6" x14ac:dyDescent="0.2">
      <c r="A16">
        <v>2024</v>
      </c>
      <c r="B16">
        <v>111.06</v>
      </c>
      <c r="C16">
        <v>104.2</v>
      </c>
      <c r="D16">
        <v>1755</v>
      </c>
      <c r="E16">
        <v>1240988.99</v>
      </c>
      <c r="F16" s="42">
        <v>84.1</v>
      </c>
    </row>
    <row r="17" spans="1:6" x14ac:dyDescent="0.2">
      <c r="A17">
        <v>2025</v>
      </c>
      <c r="B17">
        <v>103.72</v>
      </c>
      <c r="C17">
        <v>100.80200000000001</v>
      </c>
      <c r="D17">
        <v>1681</v>
      </c>
      <c r="E17">
        <v>1302656.96</v>
      </c>
      <c r="F17" s="42">
        <v>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Asset overview</vt:lpstr>
      <vt:lpstr>Assumptions</vt:lpstr>
      <vt:lpstr>Seaborne Supply</vt:lpstr>
      <vt:lpstr>Benchmark-equivalent supply</vt:lpstr>
      <vt:lpstr>FOB Cost</vt:lpstr>
      <vt:lpstr>Freight to Qingdao</vt:lpstr>
      <vt:lpstr>Final CFR cost</vt:lpstr>
      <vt:lpstr>Demand build</vt:lpstr>
      <vt:lpstr>Macro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Pereyra (Student)</cp:lastModifiedBy>
  <cp:revision>0</cp:revision>
  <dcterms:created xsi:type="dcterms:W3CDTF">2026-08-26T05:58:37Z</dcterms:created>
  <dcterms:modified xsi:type="dcterms:W3CDTF">2026-10-14T07:59:59Z</dcterms:modified>
  <dc:language>en-US</dc:language>
</cp:coreProperties>
</file>